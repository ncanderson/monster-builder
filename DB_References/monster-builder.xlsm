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326" codeName="{00CF4601-37BD-836D-55AB-7E336CB4BC7A}"/>
  <workbookPr codeName="ThisWorkbook" defaultThemeVersion="166925"/>
  <mc:AlternateContent xmlns:mc="http://schemas.openxmlformats.org/markup-compatibility/2006">
    <mc:Choice Requires="x15">
      <x15ac:absPath xmlns:x15ac="http://schemas.microsoft.com/office/spreadsheetml/2010/11/ac" url="C:\Users\natha\Desktop\projects\monster-builder\Reference\"/>
    </mc:Choice>
  </mc:AlternateContent>
  <bookViews>
    <workbookView xWindow="0" yWindow="0" windowWidth="17256" windowHeight="5772" tabRatio="697" firstSheet="2" activeTab="2" xr2:uid="{00000000-000D-0000-FFFF-FFFF00000000}"/>
  </bookViews>
  <sheets>
    <sheet name="Stat Block" sheetId="12" state="hidden" r:id="rId1"/>
    <sheet name="Monsters-Alignments" sheetId="13" state="hidden" r:id="rId2"/>
    <sheet name="Modified WS" sheetId="15" r:id="rId3"/>
    <sheet name="Languages" sheetId="17" state="hidden" r:id="rId4"/>
    <sheet name="Skills" sheetId="16" state="hidden" r:id="rId5"/>
    <sheet name="Hit Dice by Size" sheetId="4" state="hidden" r:id="rId6"/>
    <sheet name="Features" sheetId="2" state="hidden" r:id="rId7"/>
    <sheet name="Armor and HP" sheetId="14" state="hidden" r:id="rId8"/>
    <sheet name="Stats by CR" sheetId="1" state="hidden" r:id="rId9"/>
    <sheet name="Average Roll by Die" sheetId="11" state="hidden" r:id="rId10"/>
    <sheet name="Weapons and Damage" sheetId="8" r:id="rId11"/>
    <sheet name="Ability Mod by Score" sheetId="7" state="hidden" r:id="rId12"/>
    <sheet name="XP by CR" sheetId="3" state="hidden" r:id="rId13"/>
    <sheet name="Effec HP Based on Res. and Imm." sheetId="5" state="hidden" r:id="rId14"/>
  </sheets>
  <definedNames>
    <definedName name="_xlnm._FilterDatabase" localSheetId="7" hidden="1">'Armor and HP'!$A$1:$E$1</definedName>
    <definedName name="_xlnm._FilterDatabase" localSheetId="6" hidden="1">Features!$A$1:$D$92</definedName>
    <definedName name="_xlnm._FilterDatabase" localSheetId="3" hidden="1">Languages!$A$1:$C$24</definedName>
    <definedName name="_xlnm._FilterDatabase" localSheetId="1" hidden="1">'Monsters-Alignments'!$A$1:$A$15</definedName>
    <definedName name="_xlnm._FilterDatabase" localSheetId="10" hidden="1">'Weapons and Damage'!$A$1:$F$39</definedName>
    <definedName name="attributes" localSheetId="10">'Weapons and Damage'!$A$40</definedName>
    <definedName name="_xlnm.Print_Area" localSheetId="0">'Stat Block'!$B$2:$AS$36</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2" i="8" l="1"/>
  <c r="J21" i="8"/>
  <c r="J17" i="8"/>
  <c r="J16" i="8"/>
  <c r="J13" i="8" l="1"/>
  <c r="B26" i="16" l="1"/>
  <c r="B25" i="16"/>
  <c r="B24" i="16"/>
  <c r="B23" i="16"/>
  <c r="B22" i="16"/>
  <c r="B21" i="16"/>
  <c r="B20" i="16"/>
  <c r="B19" i="16"/>
  <c r="B18" i="16"/>
  <c r="B17" i="16"/>
  <c r="B16" i="16"/>
  <c r="B15" i="16"/>
  <c r="B14" i="16"/>
  <c r="B13" i="16"/>
  <c r="B11" i="16"/>
  <c r="B10" i="16"/>
  <c r="B12" i="16"/>
  <c r="B9" i="16"/>
  <c r="F41" i="8" l="1"/>
  <c r="G3" i="8" l="1"/>
  <c r="E43" i="8" s="1"/>
  <c r="F43" i="8" s="1"/>
  <c r="G4" i="8"/>
  <c r="E44" i="8" s="1"/>
  <c r="F44" i="8" s="1"/>
  <c r="G5" i="8"/>
  <c r="E45" i="8" s="1"/>
  <c r="F45" i="8" s="1"/>
  <c r="G6" i="8"/>
  <c r="E46" i="8" s="1"/>
  <c r="F46" i="8" s="1"/>
  <c r="G7" i="8"/>
  <c r="E47" i="8" s="1"/>
  <c r="F47" i="8" s="1"/>
  <c r="G8" i="8"/>
  <c r="E48" i="8" s="1"/>
  <c r="F48" i="8" s="1"/>
  <c r="G9" i="8"/>
  <c r="E49" i="8" s="1"/>
  <c r="F49" i="8" s="1"/>
  <c r="G10" i="8"/>
  <c r="E50" i="8" s="1"/>
  <c r="F50" i="8" s="1"/>
  <c r="G11" i="8"/>
  <c r="E51" i="8" s="1"/>
  <c r="F51" i="8" s="1"/>
  <c r="G12" i="8"/>
  <c r="E52" i="8" s="1"/>
  <c r="F52" i="8" s="1"/>
  <c r="G13" i="8"/>
  <c r="E53" i="8" s="1"/>
  <c r="F53" i="8" s="1"/>
  <c r="G14" i="8"/>
  <c r="E54" i="8" s="1"/>
  <c r="F54" i="8" s="1"/>
  <c r="G15" i="8"/>
  <c r="E55" i="8" s="1"/>
  <c r="F55" i="8" s="1"/>
  <c r="G16" i="8"/>
  <c r="E56" i="8" s="1"/>
  <c r="F56" i="8" s="1"/>
  <c r="G17" i="8"/>
  <c r="E57" i="8" s="1"/>
  <c r="F57" i="8" s="1"/>
  <c r="G18" i="8"/>
  <c r="E58" i="8" s="1"/>
  <c r="F58" i="8" s="1"/>
  <c r="G19" i="8"/>
  <c r="E59" i="8" s="1"/>
  <c r="F59" i="8" s="1"/>
  <c r="G20" i="8"/>
  <c r="E60" i="8" s="1"/>
  <c r="F60" i="8" s="1"/>
  <c r="G21" i="8"/>
  <c r="E61" i="8" s="1"/>
  <c r="F61" i="8" s="1"/>
  <c r="G22" i="8"/>
  <c r="E62" i="8" s="1"/>
  <c r="F62" i="8" s="1"/>
  <c r="G23" i="8"/>
  <c r="E63" i="8" s="1"/>
  <c r="F63" i="8" s="1"/>
  <c r="G24" i="8"/>
  <c r="E64" i="8" s="1"/>
  <c r="F64" i="8" s="1"/>
  <c r="G25" i="8"/>
  <c r="E65" i="8" s="1"/>
  <c r="F65" i="8" s="1"/>
  <c r="G26" i="8"/>
  <c r="E66" i="8" s="1"/>
  <c r="F66" i="8" s="1"/>
  <c r="G27" i="8"/>
  <c r="E67" i="8" s="1"/>
  <c r="F67" i="8" s="1"/>
  <c r="G28" i="8"/>
  <c r="E68" i="8" s="1"/>
  <c r="F68" i="8" s="1"/>
  <c r="G29" i="8"/>
  <c r="E69" i="8" s="1"/>
  <c r="F69" i="8" s="1"/>
  <c r="G30" i="8"/>
  <c r="E70" i="8" s="1"/>
  <c r="F70" i="8" s="1"/>
  <c r="G31" i="8"/>
  <c r="E71" i="8" s="1"/>
  <c r="F71" i="8" s="1"/>
  <c r="G32" i="8"/>
  <c r="E72" i="8" s="1"/>
  <c r="F72" i="8" s="1"/>
  <c r="G33" i="8"/>
  <c r="E73" i="8" s="1"/>
  <c r="F73" i="8" s="1"/>
  <c r="G34" i="8"/>
  <c r="E74" i="8" s="1"/>
  <c r="F74" i="8" s="1"/>
  <c r="G35" i="8"/>
  <c r="E75" i="8" s="1"/>
  <c r="F75" i="8" s="1"/>
  <c r="G36" i="8"/>
  <c r="E76" i="8" s="1"/>
  <c r="F76" i="8" s="1"/>
  <c r="G37" i="8"/>
  <c r="E77" i="8" s="1"/>
  <c r="F77" i="8" s="1"/>
  <c r="G38" i="8"/>
  <c r="E78" i="8" s="1"/>
  <c r="F78" i="8" s="1"/>
  <c r="G2" i="8"/>
  <c r="E42" i="8" s="1"/>
  <c r="F42" i="8" s="1"/>
  <c r="I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 i="1"/>
  <c r="R3"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M36" i="1"/>
  <c r="L36" i="1"/>
  <c r="K36" i="1"/>
  <c r="J36" i="1"/>
  <c r="I36" i="1"/>
  <c r="M35" i="1"/>
  <c r="L35" i="1"/>
  <c r="K35" i="1"/>
  <c r="J35" i="1"/>
  <c r="I35" i="1"/>
  <c r="M34" i="1"/>
  <c r="L34" i="1"/>
  <c r="K34" i="1"/>
  <c r="J34" i="1"/>
  <c r="I34" i="1"/>
  <c r="M33" i="1"/>
  <c r="L33" i="1"/>
  <c r="K33" i="1"/>
  <c r="J33" i="1"/>
  <c r="I33" i="1"/>
  <c r="M32" i="1"/>
  <c r="L32" i="1"/>
  <c r="K32" i="1"/>
  <c r="J32" i="1"/>
  <c r="I32" i="1"/>
  <c r="M31" i="1"/>
  <c r="L31" i="1"/>
  <c r="K31" i="1"/>
  <c r="J31" i="1"/>
  <c r="I31" i="1"/>
  <c r="M30" i="1"/>
  <c r="L30" i="1"/>
  <c r="K30" i="1"/>
  <c r="J30" i="1"/>
  <c r="I30" i="1"/>
  <c r="M29" i="1"/>
  <c r="L29" i="1"/>
  <c r="K29" i="1"/>
  <c r="J29" i="1"/>
  <c r="I29" i="1"/>
  <c r="M28" i="1"/>
  <c r="L28" i="1"/>
  <c r="K28" i="1"/>
  <c r="J28" i="1"/>
  <c r="I28" i="1"/>
  <c r="M27" i="1"/>
  <c r="L27" i="1"/>
  <c r="K27" i="1"/>
  <c r="J27" i="1"/>
  <c r="I27" i="1"/>
  <c r="M26" i="1"/>
  <c r="L26" i="1"/>
  <c r="K26" i="1"/>
  <c r="J26" i="1"/>
  <c r="I26" i="1"/>
  <c r="M25" i="1"/>
  <c r="L25" i="1"/>
  <c r="K25" i="1"/>
  <c r="J25" i="1"/>
  <c r="I25" i="1"/>
  <c r="M24" i="1"/>
  <c r="L24" i="1"/>
  <c r="K24" i="1"/>
  <c r="J24" i="1"/>
  <c r="I24" i="1"/>
  <c r="M23" i="1"/>
  <c r="L23" i="1"/>
  <c r="K23" i="1"/>
  <c r="J23" i="1"/>
  <c r="I23" i="1"/>
  <c r="M22" i="1"/>
  <c r="L22" i="1"/>
  <c r="K22" i="1"/>
  <c r="J22" i="1"/>
  <c r="I22" i="1"/>
  <c r="M21" i="1"/>
  <c r="L21" i="1"/>
  <c r="K21" i="1"/>
  <c r="J21" i="1"/>
  <c r="I21" i="1"/>
  <c r="M20" i="1"/>
  <c r="L20" i="1"/>
  <c r="K20" i="1"/>
  <c r="J20" i="1"/>
  <c r="I20" i="1"/>
  <c r="M19" i="1"/>
  <c r="L19" i="1"/>
  <c r="K19" i="1"/>
  <c r="J19" i="1"/>
  <c r="I19" i="1"/>
  <c r="M18" i="1"/>
  <c r="L18" i="1"/>
  <c r="K18" i="1"/>
  <c r="J18" i="1"/>
  <c r="I18" i="1"/>
  <c r="M17" i="1"/>
  <c r="L17" i="1"/>
  <c r="K17" i="1"/>
  <c r="J17" i="1"/>
  <c r="I17" i="1"/>
  <c r="M16" i="1"/>
  <c r="L16" i="1"/>
  <c r="K16" i="1"/>
  <c r="J16" i="1"/>
  <c r="I16" i="1"/>
  <c r="M15" i="1"/>
  <c r="L15" i="1"/>
  <c r="K15" i="1"/>
  <c r="J15" i="1"/>
  <c r="I15" i="1"/>
  <c r="M14" i="1"/>
  <c r="L14" i="1"/>
  <c r="K14" i="1"/>
  <c r="J14" i="1"/>
  <c r="I14" i="1"/>
  <c r="M13" i="1"/>
  <c r="L13" i="1"/>
  <c r="K13" i="1"/>
  <c r="J13" i="1"/>
  <c r="I13" i="1"/>
  <c r="M12" i="1"/>
  <c r="L12" i="1"/>
  <c r="K12" i="1"/>
  <c r="J12" i="1"/>
  <c r="I12" i="1"/>
  <c r="M11" i="1"/>
  <c r="L11" i="1"/>
  <c r="K11" i="1"/>
  <c r="J11" i="1"/>
  <c r="I11" i="1"/>
  <c r="M10" i="1"/>
  <c r="L10" i="1"/>
  <c r="K10" i="1"/>
  <c r="J10" i="1"/>
  <c r="I10" i="1"/>
  <c r="M9" i="1"/>
  <c r="L9" i="1"/>
  <c r="K9" i="1"/>
  <c r="J9" i="1"/>
  <c r="I9" i="1"/>
  <c r="M8" i="1"/>
  <c r="L8" i="1"/>
  <c r="K8" i="1"/>
  <c r="J8" i="1"/>
  <c r="I8" i="1"/>
  <c r="M7" i="1"/>
  <c r="L7" i="1"/>
  <c r="K7" i="1"/>
  <c r="J7" i="1"/>
  <c r="I7" i="1"/>
  <c r="M6" i="1"/>
  <c r="L6" i="1"/>
  <c r="K6" i="1"/>
  <c r="J6" i="1"/>
  <c r="I6" i="1"/>
  <c r="M5" i="1"/>
  <c r="L5" i="1"/>
  <c r="K5" i="1"/>
  <c r="J5" i="1"/>
  <c r="I5" i="1"/>
  <c r="P4" i="1"/>
  <c r="O4" i="1"/>
  <c r="N4" i="1"/>
  <c r="M4" i="1"/>
  <c r="L4" i="1"/>
  <c r="K4" i="1"/>
  <c r="J4" i="1"/>
  <c r="I4" i="1"/>
  <c r="P3" i="1"/>
  <c r="M3" i="1"/>
  <c r="L3" i="1"/>
  <c r="J3" i="1"/>
  <c r="H4" i="5"/>
  <c r="H3" i="5"/>
  <c r="H2" i="5"/>
  <c r="D2" i="5"/>
  <c r="D3" i="5"/>
  <c r="D4" i="5"/>
  <c r="N3"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2"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H5" i="5"/>
  <c r="D5" i="5"/>
  <c r="D3" i="4"/>
  <c r="D4" i="4"/>
  <c r="D5" i="4"/>
  <c r="D6" i="4"/>
  <c r="D7" i="4"/>
  <c r="D2" i="4"/>
  <c r="E4" i="2" l="1"/>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3" i="2"/>
  <c r="F4" i="14" l="1"/>
  <c r="F5" i="14"/>
  <c r="F6" i="14"/>
  <c r="F7" i="14"/>
  <c r="F8" i="14"/>
  <c r="F9" i="14"/>
  <c r="F10" i="14"/>
  <c r="F11" i="14"/>
  <c r="F12" i="14"/>
  <c r="F13" i="14"/>
  <c r="F14" i="14"/>
  <c r="F15" i="14"/>
  <c r="F3" i="14"/>
  <c r="L7" i="5" l="1"/>
  <c r="L6" i="5"/>
  <c r="I15" i="12" l="1"/>
  <c r="D105" i="15"/>
  <c r="D104" i="15"/>
  <c r="D103" i="15"/>
  <c r="D102" i="15"/>
  <c r="D99" i="15"/>
  <c r="D98" i="15"/>
  <c r="D97" i="15"/>
  <c r="D96" i="15"/>
  <c r="D95" i="15"/>
  <c r="B106" i="15" l="1"/>
  <c r="B100" i="15"/>
  <c r="C8" i="12" s="1"/>
  <c r="AV44" i="12"/>
  <c r="AU17" i="12"/>
  <c r="AU13" i="12"/>
  <c r="AU8" i="12"/>
  <c r="AU7" i="12"/>
  <c r="AU6" i="12"/>
  <c r="C28" i="12" s="1"/>
  <c r="AU5" i="12"/>
  <c r="C26" i="12" s="1"/>
  <c r="AU4" i="12"/>
  <c r="C19" i="12" s="1"/>
  <c r="C4" i="12"/>
  <c r="E115" i="15"/>
  <c r="E114" i="15"/>
  <c r="E113" i="15"/>
  <c r="E112" i="15"/>
  <c r="E111" i="15"/>
  <c r="E110" i="15"/>
  <c r="C111" i="15"/>
  <c r="C112" i="15"/>
  <c r="C113" i="15"/>
  <c r="C114" i="15"/>
  <c r="C115" i="15"/>
  <c r="C110" i="15"/>
  <c r="B116" i="15" l="1"/>
  <c r="K16" i="12" s="1"/>
  <c r="K90" i="15"/>
  <c r="J92" i="15"/>
  <c r="I92" i="15"/>
  <c r="H92" i="15"/>
  <c r="J91" i="15"/>
  <c r="I91" i="15"/>
  <c r="H91" i="15"/>
  <c r="J90" i="15"/>
  <c r="I90" i="15"/>
  <c r="H90" i="15"/>
  <c r="K89" i="15"/>
  <c r="J89" i="15"/>
  <c r="I89" i="15"/>
  <c r="H89" i="15"/>
  <c r="K88" i="15"/>
  <c r="J88" i="15"/>
  <c r="I88" i="15"/>
  <c r="H88" i="15"/>
  <c r="D1" i="15" l="1"/>
  <c r="J17" i="12" s="1"/>
  <c r="F1" i="15" l="1"/>
  <c r="B1" i="15"/>
  <c r="F3" i="4"/>
  <c r="D85" i="15"/>
  <c r="D84" i="15"/>
  <c r="D83" i="15"/>
  <c r="D82" i="15"/>
  <c r="H72" i="15"/>
  <c r="K2" i="14"/>
  <c r="K4" i="14" s="1"/>
  <c r="K5" i="14" l="1"/>
  <c r="K3" i="14"/>
  <c r="E65" i="15"/>
  <c r="AY18" i="12" s="1"/>
  <c r="B65" i="15"/>
  <c r="AV18" i="12" s="1"/>
  <c r="D78" i="15" l="1"/>
  <c r="C78" i="15"/>
  <c r="B78" i="15"/>
  <c r="D77" i="15"/>
  <c r="C77" i="15"/>
  <c r="B77" i="15"/>
  <c r="D76" i="15"/>
  <c r="C76" i="15"/>
  <c r="B76" i="15"/>
  <c r="D75" i="15"/>
  <c r="C75" i="15"/>
  <c r="B75" i="15"/>
  <c r="D74" i="15"/>
  <c r="C74" i="15"/>
  <c r="B74" i="15"/>
  <c r="D73" i="15"/>
  <c r="C73" i="15"/>
  <c r="B73" i="15"/>
  <c r="D72" i="15"/>
  <c r="C72" i="15"/>
  <c r="B72" i="15"/>
  <c r="F55" i="15"/>
  <c r="E55" i="15"/>
  <c r="D55" i="15"/>
  <c r="C55" i="15"/>
  <c r="H48" i="15" s="1"/>
  <c r="F52" i="15"/>
  <c r="I51" i="15"/>
  <c r="E51" i="15"/>
  <c r="E50" i="15"/>
  <c r="E49" i="15"/>
  <c r="E48" i="15"/>
  <c r="G39" i="15"/>
  <c r="E39" i="15"/>
  <c r="C39" i="15"/>
  <c r="B39" i="15"/>
  <c r="G38" i="15"/>
  <c r="E38" i="15"/>
  <c r="C38" i="15"/>
  <c r="B38" i="15"/>
  <c r="G37" i="15"/>
  <c r="E37" i="15"/>
  <c r="C37" i="15"/>
  <c r="B37" i="15"/>
  <c r="G36" i="15"/>
  <c r="E36" i="15"/>
  <c r="C36" i="15"/>
  <c r="B36" i="15"/>
  <c r="G35" i="15"/>
  <c r="E35" i="15"/>
  <c r="C35" i="15"/>
  <c r="B35" i="15"/>
  <c r="M34" i="15"/>
  <c r="M39" i="15" s="1"/>
  <c r="AV45" i="12" s="1"/>
  <c r="K34" i="15"/>
  <c r="C45" i="15" s="1"/>
  <c r="J34" i="15"/>
  <c r="J39" i="15" s="1"/>
  <c r="G34" i="15"/>
  <c r="E34" i="15"/>
  <c r="C34" i="15"/>
  <c r="B34" i="15"/>
  <c r="G33" i="15"/>
  <c r="E33" i="15"/>
  <c r="C33" i="15"/>
  <c r="B33" i="15"/>
  <c r="D27" i="15"/>
  <c r="AV8" i="12" s="1"/>
  <c r="D24" i="15"/>
  <c r="AV7" i="12" s="1"/>
  <c r="D21" i="15"/>
  <c r="AV6" i="12" s="1"/>
  <c r="C29" i="12" s="1"/>
  <c r="D18" i="15"/>
  <c r="D15" i="15"/>
  <c r="AV4" i="12" s="1"/>
  <c r="G12" i="15"/>
  <c r="AO11" i="12" s="1"/>
  <c r="F12" i="15"/>
  <c r="B93" i="15" s="1"/>
  <c r="E12" i="15"/>
  <c r="AA11" i="12" s="1"/>
  <c r="D12" i="15"/>
  <c r="T11" i="12" s="1"/>
  <c r="C12" i="15"/>
  <c r="M11" i="12" s="1"/>
  <c r="B12" i="15"/>
  <c r="F11" i="12" s="1"/>
  <c r="D8" i="15"/>
  <c r="L17" i="12" s="1"/>
  <c r="AV5" i="12" l="1"/>
  <c r="C27" i="12" s="1"/>
  <c r="H13" i="12"/>
  <c r="AH11" i="12"/>
  <c r="B7" i="16"/>
  <c r="B5" i="16"/>
  <c r="AV47" i="12" s="1"/>
  <c r="AU42" i="12" s="1"/>
  <c r="C20" i="12" s="1"/>
  <c r="B6" i="16"/>
  <c r="F6" i="4"/>
  <c r="G83" i="15" s="1"/>
  <c r="K6" i="14"/>
  <c r="K7" i="14" s="1"/>
  <c r="K8" i="14" s="1"/>
  <c r="H71" i="15" s="1"/>
  <c r="I71" i="15" s="1"/>
  <c r="G75" i="15" s="1"/>
  <c r="G80" i="15" s="1"/>
  <c r="C6" i="12" s="1"/>
  <c r="B4" i="16"/>
  <c r="J45" i="15"/>
  <c r="C65" i="15" s="1"/>
  <c r="AW18" i="12" s="1"/>
  <c r="B3" i="16"/>
  <c r="D3" i="16" s="1"/>
  <c r="K24" i="15"/>
  <c r="K15" i="15"/>
  <c r="K27" i="15"/>
  <c r="K18" i="15"/>
  <c r="K21" i="15"/>
  <c r="G74" i="15"/>
  <c r="I74" i="15"/>
  <c r="H11" i="14" s="1"/>
  <c r="J11" i="14" s="1"/>
  <c r="H51" i="15"/>
  <c r="H50" i="15"/>
  <c r="H49" i="15"/>
  <c r="K25" i="8"/>
  <c r="E42" i="15" s="1"/>
  <c r="AW15" i="12" s="1"/>
  <c r="J12" i="8"/>
  <c r="J11" i="8"/>
  <c r="F3" i="16" l="1"/>
  <c r="C57" i="15"/>
  <c r="D57" i="15"/>
  <c r="D58" i="15" s="1"/>
  <c r="D59" i="15" s="1" a="1"/>
  <c r="D59" i="15" s="1"/>
  <c r="D60" i="15" s="1"/>
  <c r="M49" i="15" s="1"/>
  <c r="F57" i="15"/>
  <c r="F58" i="15" s="1"/>
  <c r="F59" i="15" s="1" a="1"/>
  <c r="F59" i="15" s="1"/>
  <c r="F60" i="15" s="1"/>
  <c r="M51" i="15" s="1"/>
  <c r="E57" i="15"/>
  <c r="E58" i="15" s="1"/>
  <c r="E59" i="15" s="1" a="1"/>
  <c r="E59" i="15" s="1"/>
  <c r="E60" i="15" s="1"/>
  <c r="M50" i="15" s="1"/>
  <c r="E5" i="16"/>
  <c r="E4" i="16"/>
  <c r="E3" i="16"/>
  <c r="H6" i="16"/>
  <c r="G6" i="16"/>
  <c r="G3" i="16"/>
  <c r="F4" i="16"/>
  <c r="H5" i="16"/>
  <c r="G7" i="16"/>
  <c r="F7" i="16"/>
  <c r="H4" i="16"/>
  <c r="G5" i="16"/>
  <c r="F6" i="16"/>
  <c r="H3" i="16"/>
  <c r="G4" i="16"/>
  <c r="F5" i="16"/>
  <c r="I11" i="14"/>
  <c r="K11" i="14" s="1"/>
  <c r="I75" i="15" s="1"/>
  <c r="H80" i="15" s="1"/>
  <c r="C58" i="15"/>
  <c r="C59" i="15" s="1" a="1"/>
  <c r="C59" i="15" s="1"/>
  <c r="C60" i="15" s="1"/>
  <c r="L11" i="8"/>
  <c r="K11" i="8"/>
  <c r="F2" i="4" l="1"/>
  <c r="J50" i="15"/>
  <c r="K50" i="15" s="1"/>
  <c r="D67" i="15" s="1"/>
  <c r="AX20" i="12" s="1"/>
  <c r="J51" i="15"/>
  <c r="K51" i="15" s="1"/>
  <c r="C66" i="15"/>
  <c r="AW19" i="12" s="1"/>
  <c r="F66" i="15"/>
  <c r="AZ19" i="12" s="1"/>
  <c r="B66" i="15"/>
  <c r="AV19" i="12" s="1"/>
  <c r="E66" i="15"/>
  <c r="AY19" i="12" s="1"/>
  <c r="F67" i="15"/>
  <c r="AZ20" i="12" s="1"/>
  <c r="E67" i="15"/>
  <c r="AY20" i="12" s="1"/>
  <c r="B67" i="15"/>
  <c r="AV20" i="12" s="1"/>
  <c r="C67" i="15"/>
  <c r="AW20" i="12" s="1"/>
  <c r="F68" i="15"/>
  <c r="AZ21" i="12" s="1"/>
  <c r="D68" i="15"/>
  <c r="AX21" i="12" s="1"/>
  <c r="B68" i="15"/>
  <c r="AV21" i="12" s="1"/>
  <c r="C68" i="15"/>
  <c r="AW21" i="12" s="1"/>
  <c r="E68" i="15"/>
  <c r="AY21" i="12" s="1"/>
  <c r="M48" i="15"/>
  <c r="F65" i="15"/>
  <c r="AZ18" i="12" s="1"/>
  <c r="M11" i="8"/>
  <c r="J48" i="15"/>
  <c r="K48" i="15" s="1"/>
  <c r="D65" i="15" s="1"/>
  <c r="AX18" i="12" s="1"/>
  <c r="J49" i="15"/>
  <c r="K49" i="15" s="1"/>
  <c r="D66" i="15" s="1"/>
  <c r="AX19" i="12" s="1"/>
  <c r="C62" i="15"/>
  <c r="N25" i="8" l="1"/>
  <c r="H42" i="15" s="1"/>
  <c r="AZ15" i="12" s="1"/>
  <c r="J14" i="8" l="1"/>
  <c r="J18" i="8"/>
  <c r="J15" i="8"/>
  <c r="J19" i="8" l="1"/>
  <c r="J20" i="8" s="1"/>
  <c r="O25" i="8" l="1"/>
  <c r="I42" i="15" s="1"/>
  <c r="BA15" i="12" s="1"/>
  <c r="L25" i="8"/>
  <c r="F42" i="15" s="1"/>
  <c r="AX15" i="12" s="1"/>
  <c r="L31" i="15"/>
  <c r="J25" i="8" l="1"/>
  <c r="C42" i="15" s="1"/>
  <c r="AV15" i="12" s="1"/>
  <c r="C33" i="12" s="1"/>
  <c r="M25" i="8"/>
  <c r="G42" i="15" s="1"/>
  <c r="AY15" i="12" s="1"/>
  <c r="C34" i="12" s="1"/>
  <c r="F5" i="4"/>
  <c r="F4" i="4"/>
  <c r="F83" i="15" s="1"/>
  <c r="F7" i="4" l="1"/>
  <c r="E45" i="15"/>
  <c r="D45" i="15"/>
  <c r="P25" i="8"/>
  <c r="J42" i="15" s="1"/>
  <c r="BB15" i="12" s="1"/>
  <c r="I25" i="8"/>
  <c r="B42" i="15" s="1"/>
  <c r="F8" i="4" l="1"/>
  <c r="H83" i="15"/>
  <c r="C7" i="12" s="1"/>
  <c r="K39" i="15"/>
  <c r="F45" i="15"/>
  <c r="S48" i="15" s="1"/>
  <c r="S50" i="15" l="1"/>
  <c r="S51" i="15"/>
  <c r="S49" i="15"/>
  <c r="E52" i="15" l="1"/>
  <c r="B3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Nate Anderson</author>
  </authors>
  <commentList>
    <comment ref="K36" authorId="0" shapeId="0" xr:uid="{00000000-0006-0000-0200-000001000000}">
      <text>
        <r>
          <rPr>
            <b/>
            <sz val="9"/>
            <color indexed="81"/>
            <rFont val="Tahoma"/>
            <family val="2"/>
          </rPr>
          <t>Add damage modifications as whole numbers, not ranges</t>
        </r>
      </text>
    </comment>
    <comment ref="I39" authorId="0" shapeId="0" xr:uid="{00000000-0006-0000-0200-000002000000}">
      <text>
        <r>
          <rPr>
            <b/>
            <sz val="9"/>
            <color indexed="81"/>
            <rFont val="Tahoma"/>
            <family val="2"/>
          </rPr>
          <t>Use average damage as base: CR [+/-] 1 per two levels difference in attack bonus, or DC if relevant</t>
        </r>
      </text>
    </comment>
    <comment ref="G76" authorId="0" shapeId="0" xr:uid="{00000000-0006-0000-0200-000003000000}">
      <text>
        <r>
          <rPr>
            <b/>
            <sz val="9"/>
            <color indexed="81"/>
            <rFont val="Tahoma"/>
            <family val="2"/>
          </rPr>
          <t>For natural armour, add AC value here</t>
        </r>
      </text>
    </comment>
    <comment ref="H76" authorId="0" shapeId="0" xr:uid="{00000000-0006-0000-0200-000004000000}">
      <text>
        <r>
          <rPr>
            <b/>
            <sz val="9"/>
            <color indexed="81"/>
            <rFont val="Tahoma"/>
            <family val="2"/>
          </rPr>
          <t>Add HP modifications as whole numbers, not ranges</t>
        </r>
      </text>
    </comment>
    <comment ref="F80" authorId="0" shapeId="0" xr:uid="{00000000-0006-0000-0200-000005000000}">
      <text>
        <r>
          <rPr>
            <b/>
            <sz val="9"/>
            <color indexed="81"/>
            <rFont val="Tahoma"/>
            <family val="2"/>
          </rPr>
          <t>Use HP as base: CR [+/-] 1 per two levels difference in AC, or DC if relevant</t>
        </r>
      </text>
    </comment>
  </commentList>
</comments>
</file>

<file path=xl/sharedStrings.xml><?xml version="1.0" encoding="utf-8"?>
<sst xmlns="http://schemas.openxmlformats.org/spreadsheetml/2006/main" count="1518" uniqueCount="993">
  <si>
    <t>1/8</t>
  </si>
  <si>
    <t>1/4</t>
  </si>
  <si>
    <t>1/2</t>
  </si>
  <si>
    <t>CR</t>
  </si>
  <si>
    <t>Prof. Bonus</t>
  </si>
  <si>
    <t>AC</t>
  </si>
  <si>
    <t>HP</t>
  </si>
  <si>
    <t>Attack Bonus</t>
  </si>
  <si>
    <t>Damage/Round</t>
  </si>
  <si>
    <t>Save DC</t>
  </si>
  <si>
    <t>&lt;= 13</t>
  </si>
  <si>
    <t>1-6</t>
  </si>
  <si>
    <t>7-36</t>
  </si>
  <si>
    <t>36-49</t>
  </si>
  <si>
    <t>50-70</t>
  </si>
  <si>
    <t>71-85</t>
  </si>
  <si>
    <t>86-100</t>
  </si>
  <si>
    <t>101-115</t>
  </si>
  <si>
    <t>116-130</t>
  </si>
  <si>
    <t>131-145</t>
  </si>
  <si>
    <t>146-160</t>
  </si>
  <si>
    <t>161-175</t>
  </si>
  <si>
    <t>176-190</t>
  </si>
  <si>
    <t>191-205</t>
  </si>
  <si>
    <t>206-220</t>
  </si>
  <si>
    <t>221-235</t>
  </si>
  <si>
    <t>236-250</t>
  </si>
  <si>
    <t>251-265</t>
  </si>
  <si>
    <t>266-280</t>
  </si>
  <si>
    <t>281-295</t>
  </si>
  <si>
    <t>296-310</t>
  </si>
  <si>
    <t>311-325</t>
  </si>
  <si>
    <t>326-340</t>
  </si>
  <si>
    <t>341-355</t>
  </si>
  <si>
    <t>356-400</t>
  </si>
  <si>
    <t>401-445</t>
  </si>
  <si>
    <t>446-490</t>
  </si>
  <si>
    <t>491-535</t>
  </si>
  <si>
    <t>536-580</t>
  </si>
  <si>
    <t>581-625</t>
  </si>
  <si>
    <t>626-670</t>
  </si>
  <si>
    <t>671-715</t>
  </si>
  <si>
    <t>716-760</t>
  </si>
  <si>
    <t>761-805</t>
  </si>
  <si>
    <t>806-860</t>
  </si>
  <si>
    <t>0-1</t>
  </si>
  <si>
    <t>2-3</t>
  </si>
  <si>
    <t>4-5</t>
  </si>
  <si>
    <t>6-8</t>
  </si>
  <si>
    <t>9-14</t>
  </si>
  <si>
    <t>15-20</t>
  </si>
  <si>
    <t>21-26</t>
  </si>
  <si>
    <t>27-32</t>
  </si>
  <si>
    <t>33-38</t>
  </si>
  <si>
    <t>39-44</t>
  </si>
  <si>
    <t>45-50</t>
  </si>
  <si>
    <t>51-56</t>
  </si>
  <si>
    <t>57-62</t>
  </si>
  <si>
    <t>63-68</t>
  </si>
  <si>
    <t>69-74</t>
  </si>
  <si>
    <t>75-80</t>
  </si>
  <si>
    <t>81-86</t>
  </si>
  <si>
    <t>87-92</t>
  </si>
  <si>
    <t>93-98</t>
  </si>
  <si>
    <t>99-104</t>
  </si>
  <si>
    <t>105-110</t>
  </si>
  <si>
    <t>111-116</t>
  </si>
  <si>
    <t>117-122</t>
  </si>
  <si>
    <t>123-140</t>
  </si>
  <si>
    <t>141-158</t>
  </si>
  <si>
    <t>159-176</t>
  </si>
  <si>
    <t>177-194</t>
  </si>
  <si>
    <t>195-212</t>
  </si>
  <si>
    <t>213-230</t>
  </si>
  <si>
    <t>231-248</t>
  </si>
  <si>
    <t>249-266</t>
  </si>
  <si>
    <t>267-284</t>
  </si>
  <si>
    <t>285-302</t>
  </si>
  <si>
    <t>303-320</t>
  </si>
  <si>
    <t>Name</t>
  </si>
  <si>
    <t>Example</t>
  </si>
  <si>
    <t>Effect on CR</t>
  </si>
  <si>
    <t>Aggressive</t>
  </si>
  <si>
    <t>Amorphous</t>
  </si>
  <si>
    <t>Angelic Weapons</t>
  </si>
  <si>
    <t>Avoidance</t>
  </si>
  <si>
    <t>Blind Senses</t>
  </si>
  <si>
    <t>Blood Frenzy</t>
  </si>
  <si>
    <t>Breath Weapon</t>
  </si>
  <si>
    <t>Brute</t>
  </si>
  <si>
    <t>Chameleon Skin</t>
  </si>
  <si>
    <t>Charge</t>
  </si>
  <si>
    <t>Charm</t>
  </si>
  <si>
    <t>Constrict</t>
  </si>
  <si>
    <t>Damage Transfer</t>
  </si>
  <si>
    <t>Death Burst</t>
  </si>
  <si>
    <t>Devil Sight</t>
  </si>
  <si>
    <t>Dive</t>
  </si>
  <si>
    <t>Echolocation</t>
  </si>
  <si>
    <t>Elemental Body</t>
  </si>
  <si>
    <t>Enlarge</t>
  </si>
  <si>
    <t>Etherealness</t>
  </si>
  <si>
    <t>Fey Ancestry</t>
  </si>
  <si>
    <t>Fiendish Blessing</t>
  </si>
  <si>
    <t>Flyby</t>
  </si>
  <si>
    <t>Frightful Presence</t>
  </si>
  <si>
    <t>Grappler</t>
  </si>
  <si>
    <t xml:space="preserve">Hold Breath </t>
  </si>
  <si>
    <t>Horrifying Visage</t>
  </si>
  <si>
    <t>Illumination</t>
  </si>
  <si>
    <t>Illusory Appearance</t>
  </si>
  <si>
    <t>Immutable Form</t>
  </si>
  <si>
    <t>Incorporeal Movement</t>
  </si>
  <si>
    <t>Innate Spellcasting</t>
  </si>
  <si>
    <t>Inscrutable</t>
  </si>
  <si>
    <t>Invisibility</t>
  </si>
  <si>
    <t>Keen Senses</t>
  </si>
  <si>
    <t>Labyrinthine Recall</t>
  </si>
  <si>
    <t>Leadership</t>
  </si>
  <si>
    <t>Legendary Resistance</t>
  </si>
  <si>
    <t>Life Drain</t>
  </si>
  <si>
    <t>Light Sensitivity</t>
  </si>
  <si>
    <t>Magic Resistance</t>
  </si>
  <si>
    <t>Magic Weapons</t>
  </si>
  <si>
    <t>Martial Advantage</t>
  </si>
  <si>
    <t>Mimicry</t>
  </si>
  <si>
    <t>Otherworldly Perception</t>
  </si>
  <si>
    <t>Pack Tactics</t>
  </si>
  <si>
    <t>Parry</t>
  </si>
  <si>
    <t>Possession</t>
  </si>
  <si>
    <t>Pounce</t>
  </si>
  <si>
    <t>Psychic Defense</t>
  </si>
  <si>
    <t>Rampage</t>
  </si>
  <si>
    <t xml:space="preserve">Reactive </t>
  </si>
  <si>
    <t>Read Thoughts</t>
  </si>
  <si>
    <t>Reckless</t>
  </si>
  <si>
    <t>Redirect Attack</t>
  </si>
  <si>
    <t>Reel</t>
  </si>
  <si>
    <t>Regeneration</t>
  </si>
  <si>
    <t>Rejuvenation</t>
  </si>
  <si>
    <t>Relentless</t>
  </si>
  <si>
    <t>Antimagic Susceptibility</t>
  </si>
  <si>
    <t xml:space="preserve">Change Shape </t>
  </si>
  <si>
    <t>Damage Absorption</t>
  </si>
  <si>
    <t>False Appearance</t>
  </si>
  <si>
    <t>Nimble Escape</t>
  </si>
  <si>
    <t>Shadow Stealth</t>
  </si>
  <si>
    <t>Shapechanger</t>
  </si>
  <si>
    <t>Siege Monster</t>
  </si>
  <si>
    <t>Spellcasting</t>
  </si>
  <si>
    <t>Spider Climb</t>
  </si>
  <si>
    <t>Standing Leap</t>
  </si>
  <si>
    <t>Steadfast</t>
  </si>
  <si>
    <t>Stench</t>
  </si>
  <si>
    <t>Sunlight Sensitivity</t>
  </si>
  <si>
    <t>Superior Invisibility</t>
  </si>
  <si>
    <t>Sure-Footed</t>
  </si>
  <si>
    <t xml:space="preserve">Swallow </t>
  </si>
  <si>
    <t>Teleport</t>
  </si>
  <si>
    <t>Terrain Camouflage</t>
  </si>
  <si>
    <t>Tunneler</t>
  </si>
  <si>
    <t>Turn Immunity</t>
  </si>
  <si>
    <t>Turn Resistance</t>
  </si>
  <si>
    <t>Two Heads</t>
  </si>
  <si>
    <t>Undead Fortitude</t>
  </si>
  <si>
    <t>Web</t>
  </si>
  <si>
    <t>Web Sense</t>
  </si>
  <si>
    <t>Web Walker</t>
  </si>
  <si>
    <t>Wounded Fury</t>
  </si>
  <si>
    <t>Slippery</t>
  </si>
  <si>
    <t>Surprise Attack</t>
  </si>
  <si>
    <t>Orc</t>
  </si>
  <si>
    <t>Doppelganger</t>
  </si>
  <si>
    <t>Black Pudding</t>
  </si>
  <si>
    <t>Kuo-toa</t>
  </si>
  <si>
    <t>Deva</t>
  </si>
  <si>
    <t>Flying Sword</t>
  </si>
  <si>
    <t>Grimlock</t>
  </si>
  <si>
    <t>Sahuagin</t>
  </si>
  <si>
    <t>Ancient Black Dragon</t>
  </si>
  <si>
    <t>Bugbear</t>
  </si>
  <si>
    <t>Troglodyte</t>
  </si>
  <si>
    <t>Ancient Brass Dragon</t>
  </si>
  <si>
    <t>Centaur</t>
  </si>
  <si>
    <t>Vampire</t>
  </si>
  <si>
    <t>Constrictor Snake</t>
  </si>
  <si>
    <t>Flesh Golem</t>
  </si>
  <si>
    <t>Magmin</t>
  </si>
  <si>
    <t>Barbed Devil</t>
  </si>
  <si>
    <t>Aarakocra</t>
  </si>
  <si>
    <t>Hook Horror</t>
  </si>
  <si>
    <t>Azer</t>
  </si>
  <si>
    <t>Night Hag</t>
  </si>
  <si>
    <t>Duergar</t>
  </si>
  <si>
    <t>Gargoyle</t>
  </si>
  <si>
    <t>Drow</t>
  </si>
  <si>
    <t>Cambion</t>
  </si>
  <si>
    <t>Peryton</t>
  </si>
  <si>
    <t>Mimic</t>
  </si>
  <si>
    <t>Lizardfolk</t>
  </si>
  <si>
    <t>Flameskull</t>
  </si>
  <si>
    <t>Green Hag</t>
  </si>
  <si>
    <t>Iron Golem</t>
  </si>
  <si>
    <t>Ghost</t>
  </si>
  <si>
    <t>Djinni</t>
  </si>
  <si>
    <t>Androsphinx</t>
  </si>
  <si>
    <t>Imp</t>
  </si>
  <si>
    <t>Hell Hound</t>
  </si>
  <si>
    <t>Minotaur</t>
  </si>
  <si>
    <t>Wight</t>
  </si>
  <si>
    <t>Shadow Demon</t>
  </si>
  <si>
    <t>Balor</t>
  </si>
  <si>
    <t>Kenku</t>
  </si>
  <si>
    <t>Goblin</t>
  </si>
  <si>
    <t>Kobold</t>
  </si>
  <si>
    <t>Tiger</t>
  </si>
  <si>
    <t>Githzerai Monk</t>
  </si>
  <si>
    <t>Gnoll</t>
  </si>
  <si>
    <t>Marilith</t>
  </si>
  <si>
    <t>Goblin Boss</t>
  </si>
  <si>
    <t>Roper</t>
  </si>
  <si>
    <t>Troll</t>
  </si>
  <si>
    <t>Lich</t>
  </si>
  <si>
    <t>Wereboar</t>
  </si>
  <si>
    <t>Wererat</t>
  </si>
  <si>
    <t>Earth Elemental</t>
  </si>
  <si>
    <t>Ettercap</t>
  </si>
  <si>
    <t>Bullywug</t>
  </si>
  <si>
    <t>Bearded Devil</t>
  </si>
  <si>
    <t>Faerie Dragon</t>
  </si>
  <si>
    <t>Dao</t>
  </si>
  <si>
    <t>Behir</t>
  </si>
  <si>
    <t>Umber Hulk</t>
  </si>
  <si>
    <t>Revenant</t>
  </si>
  <si>
    <t xml:space="preserve">Lich </t>
  </si>
  <si>
    <t>Ettin</t>
  </si>
  <si>
    <t>Zombie</t>
  </si>
  <si>
    <t>Giant Spider</t>
  </si>
  <si>
    <t>Quaggoth</t>
  </si>
  <si>
    <t>For the purpose of determining effective damage output, assume the breath weapon hits two targets and that each target fails its saving throw</t>
  </si>
  <si>
    <t>Increase the effective damage of one attack per round by the amount gained from this trait</t>
  </si>
  <si>
    <t>Incrase the monster effective per-round damage by 2</t>
  </si>
  <si>
    <t>Assume the monster swallows one creature and deals 2 rounds of acid damage to it</t>
  </si>
  <si>
    <t>XP</t>
  </si>
  <si>
    <t>Monster Size</t>
  </si>
  <si>
    <t>Hit Dice</t>
  </si>
  <si>
    <t>Average HP per die</t>
  </si>
  <si>
    <t>Tiny</t>
  </si>
  <si>
    <t>Small</t>
  </si>
  <si>
    <t>Medium</t>
  </si>
  <si>
    <t>Large</t>
  </si>
  <si>
    <t>Huge</t>
  </si>
  <si>
    <t>Gargantuan</t>
  </si>
  <si>
    <t>d4</t>
  </si>
  <si>
    <t>d6</t>
  </si>
  <si>
    <t>d8</t>
  </si>
  <si>
    <t>d10</t>
  </si>
  <si>
    <t>d12</t>
  </si>
  <si>
    <t>d20</t>
  </si>
  <si>
    <t>Desired CR</t>
  </si>
  <si>
    <t>Defensive</t>
  </si>
  <si>
    <t>Offensive</t>
  </si>
  <si>
    <t>Offensive Values</t>
  </si>
  <si>
    <t>Defensive Values</t>
  </si>
  <si>
    <t>Offensive CR</t>
  </si>
  <si>
    <t>Size</t>
  </si>
  <si>
    <t>Type</t>
  </si>
  <si>
    <t>Alignment</t>
  </si>
  <si>
    <t>STR</t>
  </si>
  <si>
    <t>DEX</t>
  </si>
  <si>
    <t>CON</t>
  </si>
  <si>
    <t>INT</t>
  </si>
  <si>
    <t>WIS</t>
  </si>
  <si>
    <t>CHA</t>
  </si>
  <si>
    <t>Senses</t>
  </si>
  <si>
    <t>Languages</t>
  </si>
  <si>
    <t>Challenge</t>
  </si>
  <si>
    <t>Description</t>
  </si>
  <si>
    <t>The monster has advantage on Wisdom (Perception) checks that rely on the chosen sense.</t>
  </si>
  <si>
    <t>The monster can climb difficult surfaces, including upside down on ceilings, without needing to make an ability check.</t>
  </si>
  <si>
    <t>As a bonus action, the monster can move up to its speed toward a hostile creature that it can see.</t>
  </si>
  <si>
    <t>Varies</t>
  </si>
  <si>
    <t>The monster can hold its breath for 15 minutes</t>
  </si>
  <si>
    <t>The monster has advantage on attack rolls against any creature it has surprised.</t>
  </si>
  <si>
    <t>The monster can move through a space as narrow as 1 inch wide without squeezing.</t>
  </si>
  <si>
    <t>If the monster is subjected to an effect that allows it to make a saving throw to take only half damage, it instead takes no damage if it succeeds on the saving throw, and only half damage if it fails.</t>
  </si>
  <si>
    <t>The monster can sense without the usual equipment to do so.</t>
  </si>
  <si>
    <t>A melee weapon deals one extra die of its damage when the monster hits with it.</t>
  </si>
  <si>
    <t>The monster has advantage on Dexterity (Stealth) checks made to hide</t>
  </si>
  <si>
    <t>If the monster moves at least 30 feet straight toward a target and then hits it with a weapon attack on the same turn, the target takes an extra amount of damage.</t>
  </si>
  <si>
    <t>Whenever the monster is subjected to elemental or other damage, it takes no damage and instead regains a number of hit poin ts equal to the damage damage dealt</t>
  </si>
  <si>
    <t>Cloaker</t>
  </si>
  <si>
    <t>While attached to a creature, the monster takes only half the damage dealt to it (rounded down) and that creature takes the other half.</t>
  </si>
  <si>
    <t xml:space="preserve">When the monster dies, it explodes in a burst. Each creature within 10 feet of it must make a DC 11 Dexterity saving throw, taking damage on a failed save, or half as much damage on a successful one. </t>
  </si>
  <si>
    <t>If the monster is flying and dives at least 30 feet straight toward a target and then hits it with a melee weapon attack, the attack deals extra damage to the target.</t>
  </si>
  <si>
    <t>A creature that touchers the monster or hits it with a melee attack while within 5 feet of it takes damage.</t>
  </si>
  <si>
    <t>Recharges after a Short or Long Rest. For 1 minute, the monster magically increases in size, along with anything it is wearing or carrying. While enlarged, the monster is Large, doubles its damage dice on Strength-based weapon attacks, and makes Strength checks and Strength saving throws with advantage. If the monster lacks the room to become Large, it attains the maximum size possible in the space available .</t>
  </si>
  <si>
    <t>While the monster remains motion less, it is indistinguishable from an inanimate statue.</t>
  </si>
  <si>
    <t>The AC of the monster includes its Charisma bonus</t>
  </si>
  <si>
    <t>The monster has advantage on attack rolls against any creature grappled by it.</t>
  </si>
  <si>
    <t>Banite</t>
  </si>
  <si>
    <t>The monster covers itself and anything it is wearing or carrying with a magical illusion that makes her look like another creature of its general size and humanoid shape. The illusion ends if the hag takes a bonus action to end it or if it dies. The changes wrought by this effect fail to hold up to physical inspection. For example, the monster could appear to have smooth skin, but someone touching it would feel its rough flesh. Otherwise, a creature must take an action to visually inspect the illusion and succeed on a DC 20 Intelligence (Investigation) check to discern that the monster is disguised.</t>
  </si>
  <si>
    <t>The monster is immune to any spell or effect that would alter its form.</t>
  </si>
  <si>
    <t>The monster can move through other creatures and objects as if they were difficult terrain. It takes 5 (1d10) force damage if it ends its turn inside an object.</t>
  </si>
  <si>
    <t>The monster magically turns invisible until it attacks or uses offensive abilities or until its concentration ends (as if concentrating on a spell) . Any equipment the monster wears or carries is invisible with it</t>
  </si>
  <si>
    <t>The monster can perfectly recall any path it has traveled.</t>
  </si>
  <si>
    <t>For 1 minute, the monster can utter a special command or warning whenever a nonhostile creature that it can see within 30 feet of it makes an attack roll or a saving throw. The creature can add a d4 to its roll provided it can hear and understand the monster. A creature can benefit from only one Leadership die at a time. This effect ends if the monster is incapacitated</t>
  </si>
  <si>
    <t>If the monster fails a saving throw, it can choose to succeed instead.</t>
  </si>
  <si>
    <t>While in bright light, the monster has disadvantage on attack rolls, as well as on Wisdom (Perception) checks that rely on sight.</t>
  </si>
  <si>
    <t>The monster has advantage on saving throws against spells and other magical effects.</t>
  </si>
  <si>
    <t>The monster can take the Disengage or Hide action as a bonus action on each of its turns.</t>
  </si>
  <si>
    <t xml:space="preserve">The monster can sense the presence of any creature within 30 feet of it that is invisible or on the Ethereal Plane. It can pinpoint such a creature that is moving. </t>
  </si>
  <si>
    <t>The monster adds 6 to its AC against one melee attack that would hit it. To do so, the monster must see the attacker and be wield ing a melee weapon.</t>
  </si>
  <si>
    <t>Hobgoblin Warlord</t>
  </si>
  <si>
    <t>If the monster moves at least 30 feet straight toward a creature and then hits it with a hand attack on the same turn, that target must succeed on a Strength saving throw or be knocked prone. If the target is prone, the monster can make one bite attack against it as a bonus action.</t>
  </si>
  <si>
    <t>While the monster is wearing no armor and wielding no shield , its AC includes its Wisdom modifier.</t>
  </si>
  <si>
    <t>When the monster reduces a creature to 0 hit points with a melee attack on its turn , the monster can take a bonus action to move up to half its speed and make a bite attack.</t>
  </si>
  <si>
    <t>The monster can take one reaction on every turn in a combat.</t>
  </si>
  <si>
    <t>At the start of its turn, the monster can gain advantage on all melee weapon attack rolls it makes during that turn, but attack rolls against it have advantage until the start of its next turn.</t>
  </si>
  <si>
    <t>When a creature the monster can see targets it with an attack, the monster chooses an ally within 5 feet of it. The two monster swap places, and the chosen monster becomes the target instead.</t>
  </si>
  <si>
    <t>The monster pulls each creature grappled by it up to 25 feet straight toward it.</t>
  </si>
  <si>
    <t>The monster regains 10 hit points at the start of its turn if it has at least 1 hit point</t>
  </si>
  <si>
    <t>If it has a phylactery, the destroyed monster gains a new body in 1d10 days, regaining all its hit points and becoming active again . The new body appears within 5 feet of the phylactery.</t>
  </si>
  <si>
    <t>While in dim light or darkness, the monster can take the Hide action as a bonus action.</t>
  </si>
  <si>
    <t>The monster can use its action to polymorph into a beast form that resembles a bat (speed 10ft. fly 40ft.), a centipede (40ft., climb 40ft.), or a toad (40ft., swi m 40ft.), or back into its true form. Its statistics are the same in each form, except for the speed changes noted. Any equipment it is wearing or carrying transforms along with it.</t>
  </si>
  <si>
    <t>The monster deals double damage to objects and structures.</t>
  </si>
  <si>
    <t>The monster has advantage on ability checks and saving throws made to escape a grapple.</t>
  </si>
  <si>
    <t>While in sunlight, the monster has disadvantage on attack rolls, as well as on Wisdom (Perception) checks that rely on sight.</t>
  </si>
  <si>
    <t>As a bonus action, the monster can magically turn invisible until its concentration ends (as if concentrating on a spell). Any equipment the monster wears or carries is invisible with it.</t>
  </si>
  <si>
    <t>The monster has advantage on Strength and Dexterity saving throws made against effects that would knock it prone.</t>
  </si>
  <si>
    <t>If the monster surprises a creature and hits it with an attack during the first round of combat, the target takes extra damage from the attack.</t>
  </si>
  <si>
    <t>The monster magically teleports, along with any equipment it is wearing or carrying, up to 120 feet to an unoccupied space it can see.</t>
  </si>
  <si>
    <t>The monster has advantage on Dexterity (Stealth) checks made to hide in native terrain.</t>
  </si>
  <si>
    <t>The monster can burrow through solid rock at half its burrowing speed and leaves a tunnel in its wake.</t>
  </si>
  <si>
    <t>The monster is immune to effects that turn undead.</t>
  </si>
  <si>
    <t>The monster has advantage on saving throws against any effect that turns undead.</t>
  </si>
  <si>
    <t>The monster has advantage on Wisdom (Perception) checks and on saving throws against being blinded, charmed, deafened, frightened, stunned, and knocked unconscious.</t>
  </si>
  <si>
    <t>If damage reduces the monster to 0 hit points, it must make a Constitution saving throw with a DC of 5 +the damage taken, unless the damage is radiant or from a critical hit. On a success, the monster drops to 1 hit point instead.</t>
  </si>
  <si>
    <t>Recharge 5-6. Ranged Weapon Attack: +5 to hit, range 30 ft. to 60 ft., one creature. Hit: The target is restrained by webbing. As an action, the restrained target can make a Strength check, bursting the webbing on a success. The webbing can also be attacked and destroyed (AC 10; hp 5; vulnerability to fire damage; immunity to bludgeoning, poison, and psychic damage).</t>
  </si>
  <si>
    <t>While in contact with a web, the monster knows the exact location of any other creature in contact with the same web.</t>
  </si>
  <si>
    <t>The monster ignores movement restrictions caused by webbing.</t>
  </si>
  <si>
    <t>While it has 10 hit points or fewer, the monster has advantage on attack rolls. In addition, it deals extra damage to any target it hits with a melee attack.</t>
  </si>
  <si>
    <t xml:space="preserve">Hobgoblin </t>
  </si>
  <si>
    <t>Hobgoblin Captain</t>
  </si>
  <si>
    <t>Adjusted AC</t>
  </si>
  <si>
    <t>Adjusted HP</t>
  </si>
  <si>
    <t>Adjusted Bonus</t>
  </si>
  <si>
    <t>Adjusted Damage/Round</t>
  </si>
  <si>
    <t>Adjusted Save DC</t>
  </si>
  <si>
    <t>Traits</t>
  </si>
  <si>
    <t>Ambusher</t>
  </si>
  <si>
    <t>&lt;= 3</t>
  </si>
  <si>
    <t>HP Range</t>
  </si>
  <si>
    <t>Selected Size</t>
  </si>
  <si>
    <t>Average Die Roll by Size</t>
  </si>
  <si>
    <t>Score</t>
  </si>
  <si>
    <t>Ability Mod</t>
  </si>
  <si>
    <t>Con Modifier</t>
  </si>
  <si>
    <t>HP Avg by Dice and Con</t>
  </si>
  <si>
    <t>HP 'Units'</t>
  </si>
  <si>
    <t>Humanoid</t>
  </si>
  <si>
    <t>Chaotic Evil</t>
  </si>
  <si>
    <t>Weapon</t>
  </si>
  <si>
    <t>Damage</t>
  </si>
  <si>
    <t>Club</t>
  </si>
  <si>
    <t>Light</t>
  </si>
  <si>
    <t>Dagger</t>
  </si>
  <si>
    <t>Greatclub</t>
  </si>
  <si>
    <t>Two-handed</t>
  </si>
  <si>
    <t>Handaxe</t>
  </si>
  <si>
    <t>Light, thrown (range 20/60)</t>
  </si>
  <si>
    <t>Javelin</t>
  </si>
  <si>
    <t>Thrown (range 30/120)</t>
  </si>
  <si>
    <t>Light Hammer</t>
  </si>
  <si>
    <t>Mace</t>
  </si>
  <si>
    <t>—</t>
  </si>
  <si>
    <t>Quarterstaff</t>
  </si>
  <si>
    <t>Versatile (1d8)</t>
  </si>
  <si>
    <t>Sickle</t>
  </si>
  <si>
    <t>Spear</t>
  </si>
  <si>
    <t>Thrown (range 20/60), versatile (1d8)</t>
  </si>
  <si>
    <t>Crossbow, light</t>
  </si>
  <si>
    <t>Ammunition (range 80/320), loading, two-handed</t>
  </si>
  <si>
    <t>Dart</t>
  </si>
  <si>
    <t>Shortbow</t>
  </si>
  <si>
    <t>Ammunition (range 80/320), two-handed</t>
  </si>
  <si>
    <t>Sling</t>
  </si>
  <si>
    <t>Ammunition (range 30/120)</t>
  </si>
  <si>
    <t>Battleaxe</t>
  </si>
  <si>
    <t>Versatile (1d10)</t>
  </si>
  <si>
    <t>Flail</t>
  </si>
  <si>
    <t>Glaive</t>
  </si>
  <si>
    <t>Heavy, reach, two-handed</t>
  </si>
  <si>
    <t>Greataxe</t>
  </si>
  <si>
    <t>Heavy, two-handed</t>
  </si>
  <si>
    <t>Greatsword</t>
  </si>
  <si>
    <t>Halberd</t>
  </si>
  <si>
    <t>Lance</t>
  </si>
  <si>
    <t>Reach, special</t>
  </si>
  <si>
    <t>Longsword</t>
  </si>
  <si>
    <t>Maul</t>
  </si>
  <si>
    <t>Morningstar</t>
  </si>
  <si>
    <t>Pike</t>
  </si>
  <si>
    <t>Rapier</t>
  </si>
  <si>
    <t>Scimitar</t>
  </si>
  <si>
    <t>Shortsword</t>
  </si>
  <si>
    <t>Trident</t>
  </si>
  <si>
    <t>War Pick</t>
  </si>
  <si>
    <t>Warhammer</t>
  </si>
  <si>
    <t>Whip</t>
  </si>
  <si>
    <t>Blowgun</t>
  </si>
  <si>
    <t>Ammunition (range 25/100), loading</t>
  </si>
  <si>
    <t>Crossbow, hand</t>
  </si>
  <si>
    <t>Ammunition (range 30/120), light, loading</t>
  </si>
  <si>
    <t>Crossbow, heavy</t>
  </si>
  <si>
    <t>Ammunition (range 100/400), heavy, loading, two-handed</t>
  </si>
  <si>
    <t>Longbow</t>
  </si>
  <si>
    <t>Ammunition (range 150/600), heavy, two-handed</t>
  </si>
  <si>
    <t>Net</t>
  </si>
  <si>
    <t>Special, thrown (range 5/15)</t>
  </si>
  <si>
    <t>Damage Type</t>
  </si>
  <si>
    <t>Simple Melee</t>
  </si>
  <si>
    <t>Martial Melee</t>
  </si>
  <si>
    <t>bludgeoning</t>
  </si>
  <si>
    <t>piercing</t>
  </si>
  <si>
    <t>slashing</t>
  </si>
  <si>
    <t>Damage by CR</t>
  </si>
  <si>
    <t>Average Roll</t>
  </si>
  <si>
    <t>Min</t>
  </si>
  <si>
    <t>Max</t>
  </si>
  <si>
    <t>Average</t>
  </si>
  <si>
    <t>Selected Weapon</t>
  </si>
  <si>
    <t>Damage Dice</t>
  </si>
  <si>
    <t>Dex/Strenth Mod</t>
  </si>
  <si>
    <t>Martial ranged</t>
  </si>
  <si>
    <t>Simple ranged</t>
  </si>
  <si>
    <t>Damage range</t>
  </si>
  <si>
    <t>finesse, light, thrown (range 20/60)</t>
  </si>
  <si>
    <t>finesse, thrown (range 20/60)</t>
  </si>
  <si>
    <t>finesse</t>
  </si>
  <si>
    <t>finesse, light</t>
  </si>
  <si>
    <t>finesse, reach</t>
  </si>
  <si>
    <t>Damage 'Units'</t>
  </si>
  <si>
    <t>Damage Avg by Dice and Ability</t>
  </si>
  <si>
    <t>To account for weapons with multiple dice</t>
  </si>
  <si>
    <t>Weapon Dice Modifier</t>
  </si>
  <si>
    <t>Size Modified Damage Dice</t>
  </si>
  <si>
    <t>Weapon Attack</t>
  </si>
  <si>
    <t>Number of attacks</t>
  </si>
  <si>
    <t>Hit Roll</t>
  </si>
  <si>
    <t>Max Roll</t>
  </si>
  <si>
    <t>Number of Dice</t>
  </si>
  <si>
    <t>8</t>
  </si>
  <si>
    <t>1</t>
  </si>
  <si>
    <t>4</t>
  </si>
  <si>
    <t>6</t>
  </si>
  <si>
    <t>10</t>
  </si>
  <si>
    <t>12</t>
  </si>
  <si>
    <t>0</t>
  </si>
  <si>
    <t>2</t>
  </si>
  <si>
    <t>Average Damage by Damage Roll</t>
  </si>
  <si>
    <t>Finesse or Ranged Weapon?</t>
  </si>
  <si>
    <t>Ammunition?</t>
  </si>
  <si>
    <t>Average Damage</t>
  </si>
  <si>
    <t>Range</t>
  </si>
  <si>
    <t>Number of Attacks</t>
  </si>
  <si>
    <t>Which Ability?</t>
  </si>
  <si>
    <t>Ability Modifier</t>
  </si>
  <si>
    <t>Damage/Attack</t>
  </si>
  <si>
    <t>Damage - Ability Score</t>
  </si>
  <si>
    <t xml:space="preserve">2nd Attack </t>
  </si>
  <si>
    <t>3rd Attack</t>
  </si>
  <si>
    <t>4th Attack</t>
  </si>
  <si>
    <t>1st Attack</t>
  </si>
  <si>
    <t>Adjust damage %</t>
  </si>
  <si>
    <t>Highest Die by Average</t>
  </si>
  <si>
    <t>Sum of Average Damage</t>
  </si>
  <si>
    <t>Summary</t>
  </si>
  <si>
    <t>Desired Dice to Roll</t>
  </si>
  <si>
    <t>Prepared String</t>
  </si>
  <si>
    <t>Ability Score</t>
  </si>
  <si>
    <t>Modifier</t>
  </si>
  <si>
    <t>Standard Attack</t>
  </si>
  <si>
    <t>Custom Attack</t>
  </si>
  <si>
    <t>Damage Types</t>
  </si>
  <si>
    <t>Fire</t>
  </si>
  <si>
    <t>Cold</t>
  </si>
  <si>
    <t>Radiant</t>
  </si>
  <si>
    <t>Thunder</t>
  </si>
  <si>
    <t>Lightning</t>
  </si>
  <si>
    <t>Resistance</t>
  </si>
  <si>
    <t>Immunity</t>
  </si>
  <si>
    <t>Acid</t>
  </si>
  <si>
    <t>Bludgeoning</t>
  </si>
  <si>
    <t>Force</t>
  </si>
  <si>
    <t>Necrotic</t>
  </si>
  <si>
    <t>Psychic</t>
  </si>
  <si>
    <t>Slashing</t>
  </si>
  <si>
    <t>Piercing</t>
  </si>
  <si>
    <t>Poison</t>
  </si>
  <si>
    <t>Attack Name</t>
  </si>
  <si>
    <t>Slam</t>
  </si>
  <si>
    <t>Swipe</t>
  </si>
  <si>
    <t>Count</t>
  </si>
  <si>
    <t xml:space="preserve"> </t>
  </si>
  <si>
    <r>
      <rPr>
        <sz val="12"/>
        <color rgb="FF7A200D"/>
        <rFont val="Arial"/>
        <family val="2"/>
      </rPr>
      <t>A</t>
    </r>
    <r>
      <rPr>
        <sz val="9"/>
        <color rgb="FF7A200D"/>
        <rFont val="Arial"/>
        <family val="2"/>
      </rPr>
      <t>CTIONS</t>
    </r>
  </si>
  <si>
    <t>Monstrosity</t>
  </si>
  <si>
    <t>Beast</t>
  </si>
  <si>
    <t>Plant</t>
  </si>
  <si>
    <t>Undead</t>
  </si>
  <si>
    <t>Construct</t>
  </si>
  <si>
    <t>Fiend</t>
  </si>
  <si>
    <t>Fey</t>
  </si>
  <si>
    <t>Aberration</t>
  </si>
  <si>
    <t>Elemental</t>
  </si>
  <si>
    <t>Dragon</t>
  </si>
  <si>
    <t>Ooze</t>
  </si>
  <si>
    <t>Giant</t>
  </si>
  <si>
    <t>Celestial</t>
  </si>
  <si>
    <t>Monster Types</t>
  </si>
  <si>
    <t>Alignments</t>
  </si>
  <si>
    <t>Lawful Good</t>
  </si>
  <si>
    <t>Neutral Good</t>
  </si>
  <si>
    <t>Chaotic Good</t>
  </si>
  <si>
    <t>Neutral</t>
  </si>
  <si>
    <t>Chaotic Neutral</t>
  </si>
  <si>
    <t>Lawful Evil</t>
  </si>
  <si>
    <t>Neutral Evil</t>
  </si>
  <si>
    <t>Lawful Neutral</t>
  </si>
  <si>
    <t>Padded</t>
  </si>
  <si>
    <t>Disadvantage</t>
  </si>
  <si>
    <t>Leather</t>
  </si>
  <si>
    <t>Studded leather</t>
  </si>
  <si>
    <t>Hide</t>
  </si>
  <si>
    <t>Chain Shirt</t>
  </si>
  <si>
    <t>Scale Mail</t>
  </si>
  <si>
    <t>Breastplate</t>
  </si>
  <si>
    <t>Half Plate</t>
  </si>
  <si>
    <t>Ring Mail</t>
  </si>
  <si>
    <t>Chain Mail</t>
  </si>
  <si>
    <t>Splint</t>
  </si>
  <si>
    <t>Plate</t>
  </si>
  <si>
    <t>Shield</t>
  </si>
  <si>
    <t>Armour</t>
  </si>
  <si>
    <t>Stealth</t>
  </si>
  <si>
    <t>Natural Armor</t>
  </si>
  <si>
    <t>Some of these will be attacks</t>
  </si>
  <si>
    <t>Attacks</t>
  </si>
  <si>
    <t>Depending on what you've built up, one or both of these options may not be accurate</t>
  </si>
  <si>
    <t>1. Name</t>
  </si>
  <si>
    <t>2. CR and Size</t>
  </si>
  <si>
    <t>3. Ability Scores</t>
  </si>
  <si>
    <t>Inputs</t>
  </si>
  <si>
    <t>4. Traits</t>
  </si>
  <si>
    <t>Trait Name</t>
  </si>
  <si>
    <t>5. Work out Offensive CR</t>
  </si>
  <si>
    <t>Base CR</t>
  </si>
  <si>
    <t>Adjusted CR</t>
  </si>
  <si>
    <t>Base Stats</t>
  </si>
  <si>
    <t>Man. Adjust.</t>
  </si>
  <si>
    <t>Trait Adjust.</t>
  </si>
  <si>
    <t>To Do</t>
  </si>
  <si>
    <t>* Add damage modifiers as whole numbers, not ranges</t>
  </si>
  <si>
    <t>Deffensive CR</t>
  </si>
  <si>
    <t>% of Average:</t>
  </si>
  <si>
    <t>Target Damage/Roll</t>
  </si>
  <si>
    <t>Average Damage/Attack</t>
  </si>
  <si>
    <t>Attack Override</t>
  </si>
  <si>
    <t>* Override number of attacks here</t>
  </si>
  <si>
    <t>Avg. Damage</t>
  </si>
  <si>
    <t>Max Ability Modifier]</t>
  </si>
  <si>
    <t>Dex</t>
  </si>
  <si>
    <t>Shield?</t>
  </si>
  <si>
    <t>Incorporate magical effects into attack routines</t>
  </si>
  <si>
    <t>Total AC</t>
  </si>
  <si>
    <t>Armour Worksheet</t>
  </si>
  <si>
    <t>Armour Choice</t>
  </si>
  <si>
    <t>Dex Modded?</t>
  </si>
  <si>
    <t>Max Ability?</t>
  </si>
  <si>
    <t>Dex Modifier</t>
  </si>
  <si>
    <t>Modified AC</t>
  </si>
  <si>
    <t>Base AC</t>
  </si>
  <si>
    <t>From Armour</t>
  </si>
  <si>
    <t>Applicable Dex Mod</t>
  </si>
  <si>
    <t>Add/Subtract</t>
  </si>
  <si>
    <t>Trait Addition</t>
  </si>
  <si>
    <t>7. Work out Defensive CR</t>
  </si>
  <si>
    <t>Resistances and Immunities</t>
  </si>
  <si>
    <t>Menu</t>
  </si>
  <si>
    <t>Res/Imm</t>
  </si>
  <si>
    <t>Multiplier</t>
  </si>
  <si>
    <t>* Adjust to work with any resistances</t>
  </si>
  <si>
    <t>Average HP By CR</t>
  </si>
  <si>
    <t>Hit Die</t>
  </si>
  <si>
    <t xml:space="preserve">Con Modifier </t>
  </si>
  <si>
    <t>HP by Die</t>
  </si>
  <si>
    <t>Average CR</t>
  </si>
  <si>
    <t>8. Skills</t>
  </si>
  <si>
    <t>9. Speed</t>
  </si>
  <si>
    <t>Dexterity</t>
  </si>
  <si>
    <t>Intelligence</t>
  </si>
  <si>
    <t>Wisdom</t>
  </si>
  <si>
    <t>Charisma</t>
  </si>
  <si>
    <t>Strength</t>
  </si>
  <si>
    <t>Skil</t>
  </si>
  <si>
    <t>Rounded CR</t>
  </si>
  <si>
    <t>Proficency</t>
  </si>
  <si>
    <t>Acrobatics (+5)</t>
  </si>
  <si>
    <t>Intimidation (+4)</t>
  </si>
  <si>
    <t>Concatenated Skills</t>
  </si>
  <si>
    <t>Skills</t>
  </si>
  <si>
    <t>10. Senses</t>
  </si>
  <si>
    <t>11. Languages</t>
  </si>
  <si>
    <t>Language</t>
  </si>
  <si>
    <t>Typical Speakers</t>
  </si>
  <si>
    <t>Script</t>
  </si>
  <si>
    <t>Common</t>
  </si>
  <si>
    <t>Humans</t>
  </si>
  <si>
    <t>Dwarvish</t>
  </si>
  <si>
    <t>Dwarves</t>
  </si>
  <si>
    <t>Elvish</t>
  </si>
  <si>
    <t>Elves</t>
  </si>
  <si>
    <t>Ogres, Giants</t>
  </si>
  <si>
    <t>Gnomish</t>
  </si>
  <si>
    <t>Gnomes</t>
  </si>
  <si>
    <t>Goblinoids</t>
  </si>
  <si>
    <t>Halfling</t>
  </si>
  <si>
    <t>Halflings</t>
  </si>
  <si>
    <t>Orcs</t>
  </si>
  <si>
    <t>Abyssal</t>
  </si>
  <si>
    <t>Demons, Devils</t>
  </si>
  <si>
    <t>Infernal</t>
  </si>
  <si>
    <t>Celestials</t>
  </si>
  <si>
    <t>Draconic</t>
  </si>
  <si>
    <t>Dragons, Dragonborn</t>
  </si>
  <si>
    <t>Deep Speech</t>
  </si>
  <si>
    <t>Mindflayers, Beholders</t>
  </si>
  <si>
    <t>-</t>
  </si>
  <si>
    <t>Devils, Tieflings</t>
  </si>
  <si>
    <t>Primordial</t>
  </si>
  <si>
    <t>Elementals</t>
  </si>
  <si>
    <t>Sylvan</t>
  </si>
  <si>
    <t>Fey Creatures</t>
  </si>
  <si>
    <t>Undercommon</t>
  </si>
  <si>
    <t>Magic Weapon</t>
  </si>
  <si>
    <t>Mage Armor (AC 13 + dex)</t>
  </si>
  <si>
    <t>Tenser's Floating Disc</t>
  </si>
  <si>
    <t>Chromatic Orb</t>
  </si>
  <si>
    <t>Fog Clound</t>
  </si>
  <si>
    <t>Sleep</t>
  </si>
  <si>
    <t>3rd level spellcaster</t>
  </si>
  <si>
    <t>Wizard Assasssin</t>
  </si>
  <si>
    <t>If the monster takes 14 damage or less that would reduce it to 0 hit points, it is reduced to 1 hit point instead.</t>
  </si>
  <si>
    <t>Arcana (+6)</t>
  </si>
  <si>
    <t>Investigation (+6)</t>
  </si>
  <si>
    <t>level 1</t>
  </si>
  <si>
    <t>level 2</t>
  </si>
  <si>
    <t>4 lvl 1</t>
  </si>
  <si>
    <t>2 lvl 2</t>
  </si>
  <si>
    <t>Wizard Assassin</t>
  </si>
  <si>
    <t>Creatures of the Underdark</t>
  </si>
  <si>
    <t>Underscript</t>
  </si>
  <si>
    <t>Comma'd Languages</t>
  </si>
  <si>
    <t>spellcasting ability</t>
  </si>
  <si>
    <t>spell save</t>
  </si>
  <si>
    <t>Spell Class</t>
  </si>
  <si>
    <t>wizard</t>
  </si>
  <si>
    <t>spell attack modifier</t>
  </si>
  <si>
    <t>spell level</t>
  </si>
  <si>
    <t>Cantrips (at will): Mage Hand, Ray of Frost</t>
  </si>
  <si>
    <t>1st Level (4 slots) Tenser's Floating Disc, Mage Armor, Chromatic Orb, Sleep, Fog Cloud</t>
  </si>
  <si>
    <t>2nd Level (2 slots): Magic Weapon</t>
  </si>
  <si>
    <t>* Effective vs actual AC</t>
  </si>
  <si>
    <t>The monster emits either dim light in a 15-foot radius, or bright light in a 15-foot radius and dim light for an additionnal 15 feet. It can switch between the options as an action</t>
  </si>
  <si>
    <t>Walk</t>
  </si>
  <si>
    <t>Swimming</t>
  </si>
  <si>
    <t>Flying</t>
  </si>
  <si>
    <t>Climbing</t>
  </si>
  <si>
    <t>Burrowing</t>
  </si>
  <si>
    <t>Truesight</t>
  </si>
  <si>
    <t>Tremorsense</t>
  </si>
  <si>
    <t>Darkvision</t>
  </si>
  <si>
    <t>Blindsight</t>
  </si>
  <si>
    <t xml:space="preserve">Athletics </t>
  </si>
  <si>
    <t xml:space="preserve">Acrobatics </t>
  </si>
  <si>
    <t xml:space="preserve">Sleight of Hand </t>
  </si>
  <si>
    <t xml:space="preserve">Stealth </t>
  </si>
  <si>
    <t xml:space="preserve">Arcana </t>
  </si>
  <si>
    <t xml:space="preserve">History </t>
  </si>
  <si>
    <t xml:space="preserve">Investigation </t>
  </si>
  <si>
    <t xml:space="preserve">Nature </t>
  </si>
  <si>
    <t xml:space="preserve">Religion </t>
  </si>
  <si>
    <t xml:space="preserve">Animal Handling </t>
  </si>
  <si>
    <t xml:space="preserve">Insight </t>
  </si>
  <si>
    <t xml:space="preserve">Medicine </t>
  </si>
  <si>
    <t xml:space="preserve">Perception </t>
  </si>
  <si>
    <t xml:space="preserve">Survival </t>
  </si>
  <si>
    <t xml:space="preserve">Deception </t>
  </si>
  <si>
    <t xml:space="preserve">Intimidation </t>
  </si>
  <si>
    <t xml:space="preserve">Performance </t>
  </si>
  <si>
    <t xml:space="preserve">Persuasion </t>
  </si>
  <si>
    <t>(newid(),'Breath Weapon','For the purpose of determining effective damage output, assume the breath weapon hits two targets and that each target fails its saving throw','Varies'),</t>
  </si>
  <si>
    <t>(newid(),'Rampage','Incrase the monster effective per-round damage by 2','When the monster reduces a creature to 0 hit points with a melee attack on its turn , the monster can take a bonus action to move up to half its speed and make a bite attack.'),</t>
  </si>
  <si>
    <t>Increase the monster''s effective per-round damage output by 2</t>
  </si>
  <si>
    <t>Increase the monster''s effective attack bonus by 1</t>
  </si>
  <si>
    <t>Increase the monster''s effective per-round damage by the amount noted in the trait</t>
  </si>
  <si>
    <t>The monster''s weapon attacks are magical. When the monster hits with any weapon, the weapon deals an extra amount of damage.</t>
  </si>
  <si>
    <t>The monster is incapacitated while in the area of an anti-magic field. If targeted by dispel magic, the monster must succeed on a Constitution saving throw against the caster''s spell save DC or fall unconscious for 1 minute.</t>
  </si>
  <si>
    <t>Increase the monster''s effective AC by 1</t>
  </si>
  <si>
    <t>Increase the monster''s effective attack bonus by 4</t>
  </si>
  <si>
    <t>The monster has advantage on melee attack rolls against any creature that doesn''t have all its hit points.</t>
  </si>
  <si>
    <t>The monster magically polymorphs into a humanoid or beast that has a challenge rating no higher than its own, or back into its true form. It reverts to its true form if it dies. Any equipment it is wearing or carrying is absorbed or borne by the new form (the monster''s choice). In a new form, the monster retains its alignment, hit points, Hit Dice, ability to speak, proficiencies, Legendary Resistance (if any), lair actions (if any), and Intelligence, Wisdom, and Charisma scores, as well as this action. Its statistics and capabilities are otherwise replaced by those of the new form, except any class features or legendary actions of that form.</t>
  </si>
  <si>
    <t>Increase the monster''s damage on one attack by the amount noted in the trait</t>
  </si>
  <si>
    <t>The monster targets one humanoid it can see within 30 feet of it. If the target can see the monster, the target must succeed on a Wisdom saving throw against this magic or be charmed by the monster. The charmed target regards the monster as a trusted friend to be heeded and protected. Although the target isn''t under the monster''s control, it takes the monster''s requests or actions in the most favorable way it can, and it is a willing target for some attacks. Each time the monster or the monster''s companions do anything harmful to the target, it can repeat the saving throw, ending the effect on itself on a success. Otherwise, the effect lasts 24 hours or until the monster is destroyed , is on a different plane of existence than the target, or takes a bonus action to end the effect.</t>
  </si>
  <si>
    <t>Melee weapon attack, reach 5 ft., one creature the same size or smaller as the monster. The target is grappled if the monster isn''t already constricting a creature, and the target is restrained until this grapple ends.</t>
  </si>
  <si>
    <t>Double the monster''s effective hit points. Add one-third of the monster''s hit points to its per-round damage</t>
  </si>
  <si>
    <t>Increase the monster''s effective damage output for 1 round by the amount noted in the trait and assume it affects two creatures</t>
  </si>
  <si>
    <t>Magical darkness doesn''t impede the darkvision .</t>
  </si>
  <si>
    <t>Counts as blindsight, but the monster can''t use its blindsight while deafened.</t>
  </si>
  <si>
    <t>The monster enters the Ethereal Plane from the Material Plane, or vice versa. It is visible on the Material Plane while it is in the Border Ethereal, and viae versa, yet it can''t affect or be affected by anything on the other plane.</t>
  </si>
  <si>
    <t>The monster has advantage on saving throws against being charmed, and magic can''t put the monster to sleep</t>
  </si>
  <si>
    <t>Apply the monster''s Charisma modifier to its actual AC</t>
  </si>
  <si>
    <t>The monster doesn''t provoke an opportunity attack when it flies out of an enemy''s reach.</t>
  </si>
  <si>
    <t>Increase the monster''s effective hit points by 25% if the monster is meant to face characters of 10th level or higher</t>
  </si>
  <si>
    <t>Each creature of the monster''s choice that is within 120 feet of the monster and aware of it must succeed on a DC 18 Wisdom saving throw or become frightened for 1 minute. A creature can repeat the saving throw at the end of each of its turns, ending the effect on itself on a success. If a creature''s saving throw is successful or the effect ends for it, the creature is immune to the monster''s Frightful Presence for the next 24 hours.</t>
  </si>
  <si>
    <t>Each non-undead creature within 60 feet of the monster that can see her must succeed on a DC 13 Wisdom saving throw or be frightened for 1 minute. A frightened target can repeat the saving throw at the end of each of its turns, with disadvantage if the monster is within line of sight, ending the effect on itself on a success. If a target''s saving throw is successful or the effect ends for it, the target is immune to the monster''s Horrifying Visage for the next 24 hours.</t>
  </si>
  <si>
    <t>It''s complicated</t>
  </si>
  <si>
    <t>The monster is immune to any effect that would sense its emotions or read its thoughts, as well as any divination spell that it refuses. Wisdom (Insight) checks made to ascertain the monster''s intentions or sincerity have disadvantage.</t>
  </si>
  <si>
    <t>Each per-day use of this trait increases the monster''s effective hit points based on the expected challenge rating: 1-4, 10 hp; 5-10, 20 hp; 11 or higher, 30 hp</t>
  </si>
  <si>
    <t>The target must succeed on a Constitution saving throw or its hit point maximum is reduced by an amount equal to the damage taken. This reduction lasts until the target finishes a long rest. The target dies if this effect reduces its hit point maximum to 0. A humanoid slain by this attack rises 24 hours later as a zombie under the monster''s control, unless the humanoid is restored to life or its body is destroyed. The monster can have no more than twelve zombies under its control at one time.</t>
  </si>
  <si>
    <t>Increase the monster''s effective AC by 2</t>
  </si>
  <si>
    <t>The monster''s weapons are magical</t>
  </si>
  <si>
    <t>Once per turn, the monster can deal an extra 10 (3d6) damage to a creature it hits with a weapon attack if that creature is with in 5 feet of an ally of the monster that isn''t incapacitated.</t>
  </si>
  <si>
    <t>Increase the monster''s effective AC and effective attack bonus by 4 ( assuming the monster hits every round)</t>
  </si>
  <si>
    <t>The monster has advantage on an attack roll against a creature if at least one of the monster''s allies is within 5 feet of the creature and the ally isn''t incapacitated.</t>
  </si>
  <si>
    <t>Double the monster''s effective hit points.</t>
  </si>
  <si>
    <t>Recharge 6. One humanoid that the monster can see within 5 feet of it must succeed on a Charisma saving throw or be possessed by the monster; the monster then disappears, and the target is incapacitated and loses control of its body. The monster now controls the body but doesn''t deprive the target of awareness. The monster can''t be targeted by any attack, spell, or other effect, except ones that turn undead, and it retains its alignment, Intelligence, Wisdom, Charisma, and immunities and resistances. It otherwise uses the possessed target''s statistics, but doesn''t gain access to the target''s knowledge, class features, or proficiencies. The possession lasts until the body drops to 0 hit points, the monster ends it as a bonus action, or the monster is turned or forced out by an effect like the dispel evil and good spell. When the possession ends, the monster reappears in an unoccupied space within 5 feet of the body. The target is immune to this monster''s Possession for 24 hours after succeeding on the saving throw or after the possession ends.</t>
  </si>
  <si>
    <t>Increase the monster''s effective damage for 1 round by the amount it deals with the bonus action gained from this trait</t>
  </si>
  <si>
    <t>Apply the monster''s Wisdom modifier to its actual AC if the monsterits wearing armor or wielding a shield</t>
  </si>
  <si>
    <t>The monster magically reads the surface thoughts of one creature within 60 feet of it. The effect can penetrate barriers, but 3 feet of wood or dirt, 2 feet of stone, 2 inches of metal, or a thin layer of lead blocks it. While the target is in range, the monster can continue reading its thoughts, as long as the monster''s concentration isn''t broken (as if concentrating on a spell). While reading the target''s mind, the monster has advantage on Wisdom (Insight) and Charisma (Deception, Intimidation, and Persuasion) checks against the target.</t>
  </si>
  <si>
    <t>Increase the monster''s effective hit points by 3x the number of hit points the monster regenerates each round</t>
  </si>
  <si>
    <t>Increase the monster''s effective hit points based on the expected challenge rating: 1-4, 7 hp; 5-10, 14 hp; 11-16, 21 hp; 17 or higher, 28 hp</t>
  </si>
  <si>
    <t>Incrase the monster''s effective AC by 4</t>
  </si>
  <si>
    <t>The monster''s long jump is up to 20 feet and its high jump is up to 10 feet, with or without a running start.</t>
  </si>
  <si>
    <t>The monster can''t be frightened while it can see an allied creature within 30 feet of it.</t>
  </si>
  <si>
    <t>Any creature that starts its turn within 10 feet of the monster must succeed on a Constitution saving throw or be poisoned until the start of its next turn. On a successful saving throw, the creature is immune to the monster''s stench for 24 hours</t>
  </si>
  <si>
    <t>Increase the monster''s effective damage for 1 round by the amount noted in the trait</t>
  </si>
  <si>
    <t>The monster makes one bite attack against a Medium or smaller target it is grappling. If the attack hits, the target is also swallowed, and the grapple ends. While swallowed, the target is blinded and restrained, it has total cover against attacks and other effects outside the behir, and it takes acid damage at the start of each of the monster''s turns. A monster can have only one creature swallowed at a time. If the monster takes 30 damage or more on a single turn from the swallowed creature, the monster must succeed on a Constitution saving throw at the end of that turn or regurgitate the creature, which falls prone in a space within 10 feet of the monster. If the monster dies, a swallowed creature is no longer restrained by it and can escape from the corpse by using 15 feet of movement, exiting prone.</t>
  </si>
  <si>
    <t>Increase the monster''s damager for 1 round by the amount noted in the trait</t>
  </si>
  <si>
    <t>(newid(),'Aggressive','Increase the monster''s effective per-round damage output by 2','As a bonus action, the monster can move up to its speed toward a hostile creature that it can see.'),</t>
  </si>
  <si>
    <t>(newid(),'Ambusher','Increase the monster''s effective attack bonus by 1','The monster has advantage on attack rolls against any creature it has surprised.'),</t>
  </si>
  <si>
    <t>(newid(),'Amorphous','','The monster can move through a space as narrow as 1 inch wide without squeezing.'),</t>
  </si>
  <si>
    <t>(newid(),'Angelic Weapons','Increase the monster''s effective per-round damage by the amount noted in the trait','The monster''s weapon attacks are magical. When the monster hits with any weapon, the weapon deals an extra amount of damage.'),</t>
  </si>
  <si>
    <t>(newid(),'Antimagic Susceptibility','','The monster is incapacitated while in the area of an anti-magic field. If targeted by dispel magic, the monster must succeed on a Constitution saving throw against the caster''s spell save DC or fall unconscious for 1 minute.'),</t>
  </si>
  <si>
    <t>(newid(),'Avoidance','Increase the monster''s effective AC by 1','If the monster is subjected to an effect that allows it to make a saving throw to take only half damage, it instead takes no damage if it succeeds on the saving throw, and only half damage if it fails.'),</t>
  </si>
  <si>
    <t>(newid(),'Blind Senses','','The monster can sense without the usual equipment to do so.'),</t>
  </si>
  <si>
    <t>(newid(),'Blood Frenzy','Increase the monster''s effective attack bonus by 4','The monster has advantage on melee attack rolls against any creature that doesn''t have all its hit points.'),</t>
  </si>
  <si>
    <t>(newid(),'Brute','Increase the monster''s effective per-round damage by the amount noted in the trait','A melee weapon deals one extra die of its damage when the monster hits with it.'),</t>
  </si>
  <si>
    <t>(newid(),'Chameleon Skin','','The monster has advantage on Dexterity (Stealth) checks made to hide'),</t>
  </si>
  <si>
    <t>(newid(),'Change Shape ','','The monster magically polymorphs into a humanoid or beast that has a challenge rating no higher than its own, or back into its true form. It reverts to its true form if it dies. Any equipment it is wearing or carrying is absorbed or borne by the new form (the monster''s choice). In a new form, the monster retains its alignment, hit points, Hit Dice, ability to speak, proficiencies, Legendary Resistance (if any), lair actions (if any), and Intelligence, Wisdom, and Charisma scores, as well as this action. Its statistics and capabilities are otherwise replaced by those of the new form, except any class features or legendary actions of that form.'),</t>
  </si>
  <si>
    <t>(newid(),'Charge','Increase the monster''s damage on one attack by the amount noted in the trait','If the monster moves at least 30 feet straight toward a target and then hits it with a weapon attack on the same turn, the target takes an extra amount of damage.'),</t>
  </si>
  <si>
    <t>(newid(),'Charm','','The monster targets one humanoid it can see within 30 feet of it. If the target can see the monster, the target must succeed on a Wisdom saving throw against this magic or be charmed by the monster. The charmed target regards the monster as a trusted friend to be heeded and protected. Although the target isn''t under the monster''s control, it takes the monster''s requests or actions in the most favorable way it can, and it is a willing target for some attacks. Each time the monster or the monster''s companions do anything harmful to the target, it can repeat the saving throw, ending the effect on itself on a success. Otherwise, the effect lasts 24 hours or until the monster is destroyed , is on a different plane of existence than the target, or takes a bonus action to end the effect.'),</t>
  </si>
  <si>
    <t>(newid(),'Constrict','Increase the monster''s effective AC by 1','Melee weapon attack, reach 5 ft., one creature the same size or smaller as the monster. The target is grappled if the monster isn''t already constricting a creature, and the target is restrained until this grapple ends.'),</t>
  </si>
  <si>
    <t>(newid(),'Damage Absorption','','Whenever the monster is subjected to elemental or other damage, it takes no damage and instead regains a number of hit poin ts equal to the damage damage dealt'),</t>
  </si>
  <si>
    <t>(newid(),'Damage Transfer','Double the monster''s effective hit points. Add one-third of the monster''s hit points to its per-round damage','While attached to a creature, the monster takes only half the damage dealt to it (rounded down) and that creature takes the other half.'),</t>
  </si>
  <si>
    <t>(newid(),'Death Burst','Increase the monster''s effective damage output for 1 round by the amount noted in the trait and assume it affects two creatures','When the monster dies, it explodes in a burst. Each creature within 10 feet of it must make a DC 11 Dexterity saving throw, taking damage on a failed save, or half as much damage on a successful one. '),</t>
  </si>
  <si>
    <t>(newid(),'Devil Sight','','Magical darkness doesn''t impede the darkvision .'),</t>
  </si>
  <si>
    <t>(newid(),'Dive','Increase the monster''s effective per-round damage by the amount noted in the trait','If the monster is flying and dives at least 30 feet straight toward a target and then hits it with a melee weapon attack, the attack deals extra damage to the target.'),</t>
  </si>
  <si>
    <t>(newid(),'Echolocation','','Counts as blindsight, but the monster can''t use its blindsight while deafened.'),</t>
  </si>
  <si>
    <t>(newid(),'Elemental Body','Increase the monster''s effective per-round damage by the amount noted in the trait','A creature that touchers the monster or hits it with a melee attack while within 5 feet of it takes damage.'),</t>
  </si>
  <si>
    <t>(newid(),'Enlarge','Increase the monster''s effective per-round damage by the amount noted in the trait','Recharges after a Short or Long Rest. For 1 minute, the monster magically increases in size, along with anything it is wearing or carrying. While enlarged, the monster is Large, doubles its damage dice on Strength-based weapon attacks, and makes Strength checks and Strength saving throws with advantage. If the monster lacks the room to become Large, it attains the maximum size possible in the space available .'),</t>
  </si>
  <si>
    <t>(newid(),'Etherealness','','The monster enters the Ethereal Plane from the Material Plane, or vice versa. It is visible on the Material Plane while it is in the Border Ethereal, and viae versa, yet it can''t affect or be affected by anything on the other plane.'),</t>
  </si>
  <si>
    <t>(newid(),'False Appearance','','While the monster remains motion less, it is indistinguishable from an inanimate statue.'),</t>
  </si>
  <si>
    <t>(newid(),'Fey Ancestry','','The monster has advantage on saving throws against being charmed, and magic can''t put the monster to sleep'),</t>
  </si>
  <si>
    <t>(newid(),'Fiendish Blessing','Apply the monster''s Charisma modifier to its actual AC','The AC of the monster includes its Charisma bonus'),</t>
  </si>
  <si>
    <t>(newid(),'Flyby','','The monster doesn''t provoke an opportunity attack when it flies out of an enemy''s reach.'),</t>
  </si>
  <si>
    <t>(newid(),'Frightful Presence','Increase the monster''s effective hit points by 25% if the monster is meant to face characters of 10th level or higher','Each creature of the monster''s choice that is within 120 feet of the monster and aware of it must succeed on a DC 18 Wisdom saving throw or become frightened for 1 minute. A creature can repeat the saving throw at the end of each of its turns, ending the effect on itself on a success. If a creature''s saving throw is successful or the effect ends for it, the creature is immune to the monster''s Frightful Presence for the next 24 hours.'),</t>
  </si>
  <si>
    <t>(newid(),'Grappler','','The monster has advantage on attack rolls against any creature grappled by it.'),</t>
  </si>
  <si>
    <t>(newid(),'Hold Breath ','','The monster can hold its breath for 15 minutes'),</t>
  </si>
  <si>
    <t>(newid(),'Horrifying Visage','Increase the monster''s effective hit points by 25% if the monster is meant to face characters of 10th level or higher','Each non-undead creature within 60 feet of the monster that can see her must succeed on a DC 13 Wisdom saving throw or be frightened for 1 minute. A frightened target can repeat the saving throw at the end of each of its turns, with disadvantage if the monster is within line of sight, ending the effect on itself on a success. If a target''s saving throw is successful or the effect ends for it, the target is immune to the monster''s Horrifying Visage for the next 24 hours.'),</t>
  </si>
  <si>
    <t>(newid(),'Illumination','','The monster emits either dim light in a 15-foot radius, or bright light in a 15-foot radius and dim light for an additionnal 15 feet. It can switch between the options as an action'),</t>
  </si>
  <si>
    <t>(newid(),'Illusory Appearance','','The monster covers itself and anything it is wearing or carrying with a magical illusion that makes her look like another creature of its general size and humanoid shape. The illusion ends if the hag takes a bonus action to end it or if it dies. The changes wrought by this effect fail to hold up to physical inspection. For example, the monster could appear to have smooth skin, but someone touching it would feel its rough flesh. Otherwise, a creature must take an action to visually inspect the illusion and succeed on a DC 20 Intelligence (Investigation) check to discern that the monster is disguised.'),</t>
  </si>
  <si>
    <t>(newid(),'Immutable Form','','The monster is immune to any spell or effect that would alter its form.'),</t>
  </si>
  <si>
    <t>(newid(),'Incorporeal Movement','','The monster can move through other creatures and objects as if they were difficult terrain. It takes 5 (1d10) force damage if it ends its turn inside an object.'),</t>
  </si>
  <si>
    <t>(newid(),'Innate Spellcasting','It''s complicated','Varies'),</t>
  </si>
  <si>
    <t>(newid(),'Inscrutable','','The monster is immune to any effect that would sense its emotions or read its thoughts, as well as any divination spell that it refuses. Wisdom (Insight) checks made to ascertain the monster''s intentions or sincerity have disadvantage.'),</t>
  </si>
  <si>
    <t>(newid(),'Invisibility','','The monster magically turns invisible until it attacks or uses offensive abilities or until its concentration ends (as if concentrating on a spell) . Any equipment the monster wears or carries is invisible with it'),</t>
  </si>
  <si>
    <t>(newid(),'Keen Senses','','The monster has advantage on Wisdom (Perception) checks that rely on the chosen sense.'),</t>
  </si>
  <si>
    <t>(newid(),'Labyrinthine Recall','','The monster can perfectly recall any path it has traveled.'),</t>
  </si>
  <si>
    <t>(newid(),'Leadership','','For 1 minute, the monster can utter a special command or warning whenever a nonhostile creature that it can see within 30 feet of it makes an attack roll or a saving throw. The creature can add a d4 to its roll provided it can hear and understand the monster. A creature can benefit from only one Leadership die at a time. This effect ends if the monster is incapacitated'),</t>
  </si>
  <si>
    <t>(newid(),'Legendary Resistance','Each per-day use of this trait increases the monster''s effective hit points based on the expected challenge rating: 1-4, 10 hp; 5-10, 20 hp; 11 or higher, 30 hp','If the monster fails a saving throw, it can choose to succeed instead.'),</t>
  </si>
  <si>
    <t>(newid(),'Life Drain','','The target must succeed on a Constitution saving throw or its hit point maximum is reduced by an amount equal to the damage taken. This reduction lasts until the target finishes a long rest. The target dies if this effect reduces its hit point maximum to 0. A humanoid slain by this attack rises 24 hours later as a zombie under the monster''s control, unless the humanoid is restored to life or its body is destroyed. The monster can have no more than twelve zombies under its control at one time.'),</t>
  </si>
  <si>
    <t>(newid(),'Light Sensitivity','','While in bright light, the monster has disadvantage on attack rolls, as well as on Wisdom (Perception) checks that rely on sight.'),</t>
  </si>
  <si>
    <t>(newid(),'Magic Resistance','Increase the monster''s effective AC by 2','The monster has advantage on saving throws against spells and other magical effects.'),</t>
  </si>
  <si>
    <t>(newid(),'Magic Weapons','','The monster''s weapons are magical'),</t>
  </si>
  <si>
    <t>(newid(),'Martial Advantage','Increase the effective damage of one attack per round by the amount gained from this trait','Once per turn, the monster can deal an extra 10 (3d6) damage to a creature it hits with a weapon attack if that creature is with in 5 feet of an ally of the monster that isn''t incapacitated.'),</t>
  </si>
  <si>
    <t>(newid(),'Mimicry','','The monster has advantage on attack rolls against any creature it has surprised.'),</t>
  </si>
  <si>
    <t>(newid(),'Nimble Escape','Increase the monster''s effective AC and effective attack bonus by 4 ( assuming the monster hits every round)','The monster can take the Disengage or Hide action as a bonus action on each of its turns.'),</t>
  </si>
  <si>
    <t>(newid(),'Otherworldly Perception','','The monster can sense the presence of any creature within 30 feet of it that is invisible or on the Ethereal Plane. It can pinpoint such a creature that is moving. '),</t>
  </si>
  <si>
    <t>(newid(),'Pack Tactics','Increase the monster''s effective attack bonus by 1','The monster has advantage on an attack roll against a creature if at least one of the monster''s allies is within 5 feet of the creature and the ally isn''t incapacitated.'),</t>
  </si>
  <si>
    <t>(newid(),'Parry','Increase the monster''s effective AC by 1','The monster adds 6 to its AC against one melee attack that would hit it. To do so, the monster must see the attacker and be wield ing a melee weapon.'),</t>
  </si>
  <si>
    <t>(newid(),'Possession','Double the monster''s effective hit points.','Recharge 6. One humanoid that the monster can see within 5 feet of it must succeed on a Charisma saving throw or be possessed by the monster; the monster then disappears, and the target is incapacitated and loses control of its body. The monster now controls the body but doesn''t deprive the target of awareness. The monster can''t be targeted by any attack, spell, or other effect, except ones that turn undead, and it retains its alignment, Intelligence, Wisdom, Charisma, and immunities and resistances. It otherwise uses the possessed target''s statistics, but doesn''t gain access to the target''s knowledge, class features, or proficiencies. The possession lasts until the body drops to 0 hit points, the monster ends it as a bonus action, or the monster is turned or forced out by an effect like the dispel evil and good spell. When the possession ends, the monster reappears in an unoccupied space within 5 feet of the body. The target is immune to this monster''s Possession for 24 hours after succeeding on the saving throw or after the possession ends.'),</t>
  </si>
  <si>
    <t>(newid(),'Pounce','Increase the monster''s effective damage for 1 round by the amount it deals with the bonus action gained from this trait','If the monster moves at least 30 feet straight toward a creature and then hits it with a hand attack on the same turn, that target must succeed on a Strength saving throw or be knocked prone. If the target is prone, the monster can make one bite attack against it as a bonus action.'),</t>
  </si>
  <si>
    <t>(newid(),'Psychic Defense','Apply the monster''s Wisdom modifier to its actual AC if the monsterits wearing armor or wielding a shield','While the monster is wearing no armor and wielding no shield , its AC includes its Wisdom modifier.'),</t>
  </si>
  <si>
    <t>(newid(),'Reactive ','','The monster can take one reaction on every turn in a combat.'),</t>
  </si>
  <si>
    <t>(newid(),'Read Thoughts','','The monster magically reads the surface thoughts of one creature within 60 feet of it. The effect can penetrate barriers, but 3 feet of wood or dirt, 2 feet of stone, 2 inches of metal, or a thin layer of lead blocks it. While the target is in range, the monster can continue reading its thoughts, as long as the monster''s concentration isn''t broken (as if concentrating on a spell). While reading the target''s mind, the monster has advantage on Wisdom (Insight) and Charisma (Deception, Intimidation, and Persuasion) checks against the target.'),</t>
  </si>
  <si>
    <t>(newid(),'Reckless','','At the start of its turn, the monster can gain advantage on all melee weapon attack rolls it makes during that turn, but attack rolls against it have advantage until the start of its next turn.'),</t>
  </si>
  <si>
    <t>(newid(),'Redirect Attack','','When a creature the monster can see targets it with an attack, the monster chooses an ally within 5 feet of it. The two monster swap places, and the chosen monster becomes the target instead.'),</t>
  </si>
  <si>
    <t>(newid(),'Reel','','The monster pulls each creature grappled by it up to 25 feet straight toward it.'),</t>
  </si>
  <si>
    <t>(newid(),'Regeneration','Increase the monster''s effective hit points by 3x the number of hit points the monster regenerates each round','The monster regains 10 hit points at the start of its turn if it has at least 1 hit point'),</t>
  </si>
  <si>
    <t>(newid(),'Rejuvenation','','If it has a phylactery, the destroyed monster gains a new body in 1d10 days, regaining all its hit points and becoming active again . The new body appears within 5 feet of the phylactery.'),</t>
  </si>
  <si>
    <t>(newid(),'Relentless','Increase the monster''s effective hit points based on the expected challenge rating: 1-4, 7 hp; 5-10, 14 hp; 11-16, 21 hp; 17 or higher, 28 hp','If the monster takes 14 damage or less that would reduce it to 0 hit points, it is reduced to 1 hit point instead.'),</t>
  </si>
  <si>
    <t>(newid(),'Shadow Stealth','Incrase the monster''s effective AC by 4','While in dim light or darkness, the monster can take the Hide action as a bonus action.'),</t>
  </si>
  <si>
    <t>(newid(),'Shapechanger','','The monster can use its action to polymorph into a beast form that resembles a bat (speed 10ft. fly 40ft.), a centipede (40ft., climb 40ft.), or a toad (40ft., swi m 40ft.), or back into its true form. Its statistics are the same in each form, except for the speed changes noted. Any equipment it is wearing or carrying transforms along with it.'),</t>
  </si>
  <si>
    <t>(newid(),'Siege Monster','','The monster deals double damage to objects and structures.'),</t>
  </si>
  <si>
    <t>(newid(),'Slippery','','The monster has advantage on ability checks and saving throws made to escape a grapple.'),</t>
  </si>
  <si>
    <t>(newid(),'Spellcasting','It''s complicated','Varies'),</t>
  </si>
  <si>
    <t>(newid(),'Spider Climb','','The monster can climb difficult surfaces, including upside down on ceilings, without needing to make an ability check.'),</t>
  </si>
  <si>
    <t>(newid(),'Standing Leap','','The monster''s long jump is up to 20 feet and its high jump is up to 10 feet, with or without a running start.'),</t>
  </si>
  <si>
    <t>(newid(),'Steadfast','','The monster can''t be frightened while it can see an allied creature within 30 feet of it.'),</t>
  </si>
  <si>
    <t>(newid(),'Stench','Increase the monster''s effective AC by 1','Any creature that starts its turn within 10 feet of the monster must succeed on a Constitution saving throw or be poisoned until the start of its next turn. On a successful saving throw, the creature is immune to the monster''s stench for 24 hours'),</t>
  </si>
  <si>
    <t>(newid(),'Sunlight Sensitivity','','While in sunlight, the monster has disadvantage on attack rolls, as well as on Wisdom (Perception) checks that rely on sight.'),</t>
  </si>
  <si>
    <t>(newid(),'Superior Invisibility','Increase the monster''s effective AC by 2','As a bonus action, the monster can magically turn invisible until its concentration ends (as if concentrating on a spell). Any equipment the monster wears or carries is invisible with it.'),</t>
  </si>
  <si>
    <t>(newid(),'Sure-Footed','','The monster has advantage on Strength and Dexterity saving throws made against effects that would knock it prone.'),</t>
  </si>
  <si>
    <t>(newid(),'Surprise Attack','Increase the monster''s effective damage for 1 round by the amount noted in the trait','If the monster surprises a creature and hits it with an attack during the first round of combat, the target takes extra damage from the attack.'),</t>
  </si>
  <si>
    <t>(newid(),'Swallow ','Assume the monster swallows one creature and deals 2 rounds of acid damage to it','The monster makes one bite attack against a Medium or smaller target it is grappling. If the attack hits, the target is also swallowed, and the grapple ends. While swallowed, the target is blinded and restrained, it has total cover against attacks and other effects outside the behir, and it takes acid damage at the start of each of the monster''s turns. A monster can have only one creature swallowed at a time. If the monster takes 30 damage or more on a single turn from the swallowed creature, the monster must succeed on a Constitution saving throw at the end of that turn or regurgitate the creature, which falls prone in a space within 10 feet of the monster. If the monster dies, a swallowed creature is no longer restrained by it and can escape from the corpse by using 15 feet of movement, exiting prone.'),</t>
  </si>
  <si>
    <t>(newid(),'Teleport','','The monster magically teleports, along with any equipment it is wearing or carrying, up to 120 feet to an unoccupied space it can see.'),</t>
  </si>
  <si>
    <t>(newid(),'Terrain Camouflage','','The monster has advantage on Dexterity (Stealth) checks made to hide in native terrain.'),</t>
  </si>
  <si>
    <t>(newid(),'Tunneler','','The monster can burrow through solid rock at half its burrowing speed and leaves a tunnel in its wake.'),</t>
  </si>
  <si>
    <t>(newid(),'Turn Immunity','','The monster is immune to effects that turn undead.'),</t>
  </si>
  <si>
    <t>(newid(),'Turn Resistance','','The monster has advantage on saving throws against any effect that turns undead.'),</t>
  </si>
  <si>
    <t>(newid(),'Two Heads','','The monster has advantage on Wisdom (Perception) checks and on saving throws against being blinded, charmed, deafened, frightened, stunned, and knocked unconscious.'),</t>
  </si>
  <si>
    <t>(newid(),'Undead Fortitude','Increase the monster''s effective hit points based on the expected challenge rating: 1-4, 7 hp; 5-10, 14 hp; 11-16, 21 hp; 17 or higher, 28 hp','If damage reduces the monster to 0 hit points, it must make a Constitution saving throw with a DC of 5 +the damage taken, unless the damage is radiant or from a critical hit. On a success, the monster drops to 1 hit point instead.'),</t>
  </si>
  <si>
    <t>(newid(),'Web','Increase the monster''s effective AC by 1','Recharge 5-6. Ranged Weapon Attack: +5 to hit, range 30 ft. to 60 ft., one creature. Hit: The target is restrained by webbing. As an action, the restrained target can make a Strength check, bursting the webbing on a success. The webbing can also be attacked and destroyed (AC 10; hp 5; vulnerability to fire damage; immunity to bludgeoning, poison, and psychic damage).'),</t>
  </si>
  <si>
    <t>(newid(),'Web Sense','','While in contact with a web, the monster knows the exact location of any other creature in contact with the same web.'),</t>
  </si>
  <si>
    <t>(newid(),'Web Walker','','The monster ignores movement restrictions caused by webbing.'),</t>
  </si>
  <si>
    <t>(newid(),'Wounded Fury','Increase the monster''s damager for 1 round by the amount noted in the trait','While it has 10 hit points or fewer, the monster has advantage on attack rolls. In addition, it deals extra damage to any target it hits with a melee attack.'),</t>
  </si>
  <si>
    <t>'Resistance'</t>
  </si>
  <si>
    <t>'Immunity'</t>
  </si>
  <si>
    <t>'1/8'</t>
  </si>
  <si>
    <t>'1/4'</t>
  </si>
  <si>
    <t>'1/2'</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</si>
  <si>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</si>
  <si>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</si>
  <si>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</si>
  <si>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</si>
  <si>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</si>
  <si>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</si>
  <si>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</si>
  <si>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</si>
  <si>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</si>
  <si>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</si>
  <si>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</si>
  <si>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</si>
  <si>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</si>
  <si>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</si>
  <si>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</si>
  <si>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</si>
  <si>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</si>
  <si>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</si>
  <si>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</si>
  <si>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</si>
  <si>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</si>
  <si>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</si>
  <si>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</si>
  <si>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</si>
  <si>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</si>
  <si>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</si>
  <si>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</si>
  <si>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</si>
  <si>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</si>
  <si>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</si>
  <si>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('1/8',2,'Immunity'),</t>
  </si>
  <si>
    <t>('1/4',2,'Immunity'),</t>
  </si>
  <si>
    <t>('1/2',2,'Immunity'),</t>
  </si>
  <si>
    <t>('1',2,'Immunity'),</t>
  </si>
  <si>
    <t>('2',2,'Immunity'),</t>
  </si>
  <si>
    <t>('3',2,'Immunity'),</t>
  </si>
  <si>
    <t>('4',2,'Immunity'),</t>
  </si>
  <si>
    <t>('5',2,'Immunity'),</t>
  </si>
  <si>
    <t>('6',2,'Immunity'),</t>
  </si>
  <si>
    <t>('7',2,'Immunity'),</t>
  </si>
  <si>
    <t>('8',2,'Immunity'),</t>
  </si>
  <si>
    <t>('9',2,'Immunity'),</t>
  </si>
  <si>
    <t>('10',2,'Immunity'),</t>
  </si>
  <si>
    <t>('11',1.5,'Immunity'),</t>
  </si>
  <si>
    <t>('12',1.5,'Immunity'),</t>
  </si>
  <si>
    <t>('13',1.5,'Immunity'),</t>
  </si>
  <si>
    <t>('14',1.5,'Immunity'),</t>
  </si>
  <si>
    <t>('15',1.5,'Immunity'),</t>
  </si>
  <si>
    <t>('16',1.5,'Immunity'),</t>
  </si>
  <si>
    <t>('17',1.25,'Immunity'),</t>
  </si>
  <si>
    <t>('18',1.25,'Immunity'),</t>
  </si>
  <si>
    <t>('19',1.25,'Immunity'),</t>
  </si>
  <si>
    <t>('20',1.25,'Immunity'),</t>
  </si>
  <si>
    <t>('21',1.25,'Immunity'),</t>
  </si>
  <si>
    <t>('22',1.25,'Immunity'),</t>
  </si>
  <si>
    <t>('23',1.25,'Immunity'),</t>
  </si>
  <si>
    <t>('24',1.25,'Immunity'),</t>
  </si>
  <si>
    <t>('25',1.25,'Immunity'),</t>
  </si>
  <si>
    <t>('26',1.25,'Immunity'),</t>
  </si>
  <si>
    <t>('27',1.25,'Immunity'),</t>
  </si>
  <si>
    <t>('28',1.25,'Immunity'),</t>
  </si>
  <si>
    <t>('29',1.25,'Immunity'),</t>
  </si>
  <si>
    <t>('30',1.25,'Immunity'),</t>
  </si>
  <si>
    <t>proficiency</t>
  </si>
  <si>
    <t>ac</t>
  </si>
  <si>
    <t>min_hp</t>
  </si>
  <si>
    <t>max_hp</t>
  </si>
  <si>
    <t>def</t>
  </si>
  <si>
    <t>attack</t>
  </si>
  <si>
    <t>min_damage</t>
  </si>
  <si>
    <t>max_damage</t>
  </si>
  <si>
    <t>save_dc</t>
  </si>
  <si>
    <t>off</t>
  </si>
  <si>
    <t>13,</t>
  </si>
  <si>
    <t>3,</t>
  </si>
  <si>
    <t>Die</t>
  </si>
  <si>
    <t>'Battleaxe',</t>
  </si>
  <si>
    <t>'slashing',</t>
  </si>
  <si>
    <t>'Martial Melee',</t>
  </si>
  <si>
    <t>'Versatile (1d10)',</t>
  </si>
  <si>
    <t>'Flail',</t>
  </si>
  <si>
    <t>'bludgeoning',</t>
  </si>
  <si>
    <t>'Glaive',</t>
  </si>
  <si>
    <t>'Heavy, reach, two-handed',</t>
  </si>
  <si>
    <t>'Greataxe',</t>
  </si>
  <si>
    <t>'Heavy, two-handed',</t>
  </si>
  <si>
    <t>'Greatsword',</t>
  </si>
  <si>
    <t>'Halberd',</t>
  </si>
  <si>
    <t>'Lance',</t>
  </si>
  <si>
    <t>'piercing',</t>
  </si>
  <si>
    <t>'Reach, special',</t>
  </si>
  <si>
    <t>'Longsword',</t>
  </si>
  <si>
    <t>'Maul',</t>
  </si>
  <si>
    <t>'Morningstar',</t>
  </si>
  <si>
    <t>'Pike',</t>
  </si>
  <si>
    <t>'Rapier',</t>
  </si>
  <si>
    <t>'finesse',</t>
  </si>
  <si>
    <t>'Scimitar',</t>
  </si>
  <si>
    <t>'finesse, light',</t>
  </si>
  <si>
    <t>'Shortsword',</t>
  </si>
  <si>
    <t>'Trident',</t>
  </si>
  <si>
    <t>'Thrown (range 20/60), versatile (1d8)',</t>
  </si>
  <si>
    <t>'War Pick',</t>
  </si>
  <si>
    <t>'Warhammer',</t>
  </si>
  <si>
    <t>'Whip',</t>
  </si>
  <si>
    <t>'finesse, reach',</t>
  </si>
  <si>
    <t>'Blowgun',</t>
  </si>
  <si>
    <t>'Martial ranged',</t>
  </si>
  <si>
    <t>'Ammunition (range 25/100), loading',</t>
  </si>
  <si>
    <t>'Crossbow, hand',</t>
  </si>
  <si>
    <t>'Ammunition (range 30/120), light, loading',</t>
  </si>
  <si>
    <t>'Crossbow, heavy',</t>
  </si>
  <si>
    <t>'Ammunition (range 100/400), heavy, loading, two-handed',</t>
  </si>
  <si>
    <t>'Longbow',</t>
  </si>
  <si>
    <t>'Ammunition (range 150/600), heavy, two-handed',</t>
  </si>
  <si>
    <t>'Net',</t>
  </si>
  <si>
    <t>'0',</t>
  </si>
  <si>
    <t>'Special, thrown (range 5/15)',</t>
  </si>
  <si>
    <t>'Club',</t>
  </si>
  <si>
    <t>'Simple Melee',</t>
  </si>
  <si>
    <t>'Light',</t>
  </si>
  <si>
    <t>'Dagger',</t>
  </si>
  <si>
    <t>'finesse, light, thrown (range 20/60)',</t>
  </si>
  <si>
    <t>'Greatclub',</t>
  </si>
  <si>
    <t>'Two-handed',</t>
  </si>
  <si>
    <t>'Handaxe',</t>
  </si>
  <si>
    <t>'Light, thrown (range 20/60)',</t>
  </si>
  <si>
    <t>'Javelin',</t>
  </si>
  <si>
    <t>'Thrown (range 30/120)',</t>
  </si>
  <si>
    <t>'Light Hammer',</t>
  </si>
  <si>
    <t>'Mace',</t>
  </si>
  <si>
    <t>'Quarterstaff',</t>
  </si>
  <si>
    <t>'Versatile (1d8)',</t>
  </si>
  <si>
    <t>'Sickle',</t>
  </si>
  <si>
    <t>'Spear',</t>
  </si>
  <si>
    <t>'Crossbow, light',</t>
  </si>
  <si>
    <t>'Simple ranged',</t>
  </si>
  <si>
    <t>'Ammunition (range 80/320), loading, two-handed',</t>
  </si>
  <si>
    <t>'Dart',</t>
  </si>
  <si>
    <t>'finesse, thrown (range 20/60)',</t>
  </si>
  <si>
    <t>'Shortbow',</t>
  </si>
  <si>
    <t>'Ammunition (range 80/320), two-handed',</t>
  </si>
  <si>
    <t>'Sling',</t>
  </si>
  <si>
    <t>'Ammunition (range 30/120)',</t>
  </si>
  <si>
    <t>null,</t>
  </si>
  <si>
    <t>Weapon,</t>
  </si>
  <si>
    <t>Damage Type,</t>
  </si>
  <si>
    <t>Type,</t>
  </si>
  <si>
    <t>Traits,</t>
  </si>
  <si>
    <t>implement custom attacks</t>
  </si>
  <si>
    <t>implement stat modifications from feats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</si>
</sst>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sz val="8"/>
      <color rgb="FF333333"/>
      <name val="Verdana"/>
      <family val="2"/>
    </font>
    <font>
      <b/>
      <sz val="9"/>
      <color indexed="81"/>
      <name val="Tahoma"/>
      <family val="2"/>
    </font>
    <font>
      <u/>
      <sz val="11"/>
      <color theme="10"/>
      <name val="Calibri"/>
      <family val="2"/>
      <scheme val="minor"/>
    </font>
    <font>
      <sz val="9.9"/>
      <name val="Calibri"/>
      <family val="2"/>
      <scheme val="minor"/>
    </font>
    <font>
      <b/>
      <sz val="11"/>
      <color rgb="FF7A200D"/>
      <name val="TeX Gyre Bonum"/>
      <family val="3"/>
    </font>
    <font>
      <i/>
      <sz val="6"/>
      <color theme="1"/>
      <name val="Junction Regular"/>
      <family val="2"/>
    </font>
    <font>
      <i/>
      <sz val="7"/>
      <color theme="1"/>
      <name val="Arial"/>
      <family val="2"/>
    </font>
    <font>
      <i/>
      <sz val="6"/>
      <color theme="1"/>
      <name val="Arial"/>
      <family val="2"/>
    </font>
    <font>
      <sz val="11"/>
      <color theme="1"/>
      <name val="Arial"/>
      <family val="2"/>
    </font>
    <font>
      <sz val="8"/>
      <color rgb="FF7A200D"/>
      <name val="Calibri"/>
      <family val="2"/>
      <scheme val="minor"/>
    </font>
    <font>
      <b/>
      <sz val="8"/>
      <color rgb="FF7A200D"/>
      <name val="Arial"/>
      <family val="2"/>
    </font>
    <font>
      <sz val="8"/>
      <color rgb="FF7A200D"/>
      <name val="Arial"/>
      <family val="2"/>
    </font>
    <font>
      <sz val="8"/>
      <color rgb="FF7A200D"/>
      <name val="Junction Regular"/>
      <family val="2"/>
    </font>
    <font>
      <sz val="8"/>
      <color theme="1"/>
      <name val="Junction Regular"/>
      <family val="2"/>
    </font>
    <font>
      <sz val="8"/>
      <color theme="1"/>
      <name val="Arial"/>
      <family val="2"/>
    </font>
    <font>
      <b/>
      <sz val="8"/>
      <color rgb="FF7A200D"/>
      <name val="Junction Regular"/>
      <family val="2"/>
    </font>
    <font>
      <sz val="8"/>
      <name val="Arial"/>
      <family val="2"/>
    </font>
    <font>
      <sz val="11"/>
      <color rgb="FF7A200D"/>
      <name val="Junction Regular"/>
      <family val="2"/>
    </font>
    <font>
      <sz val="11"/>
      <color rgb="FF7A200D"/>
      <name val="Arial"/>
      <family val="2"/>
    </font>
    <font>
      <sz val="12"/>
      <color rgb="FF7A200D"/>
      <name val="Arial"/>
      <family val="2"/>
    </font>
    <font>
      <sz val="9"/>
      <color rgb="FF7A200D"/>
      <name val="Arial"/>
      <family val="2"/>
    </font>
    <font>
      <sz val="8"/>
      <color theme="1"/>
      <name val="Calibri"/>
      <family val="2"/>
      <scheme val="minor"/>
    </font>
    <font>
      <sz val="11"/>
      <color theme="1"/>
      <name val="Sitka Text"/>
    </font>
    <font>
      <sz val="11"/>
      <color rgb="FF7A200D"/>
      <name val="Calibri"/>
      <family val="2"/>
      <scheme val="minor"/>
    </font>
    <font>
      <b/>
      <sz val="11"/>
      <color rgb="FF7A200D"/>
      <name val="Calibri"/>
      <family val="2"/>
      <scheme val="minor"/>
    </font>
    <font>
      <b/>
      <sz val="16"/>
      <color rgb="FF7A200D"/>
      <name val="TeX Gyre Bonum"/>
      <family val="3"/>
    </font>
    <font>
      <b/>
      <u/>
      <sz val="12"/>
      <color theme="1"/>
      <name val="Arial"/>
      <family val="2"/>
    </font>
    <font>
      <sz val="8"/>
      <color rgb="FFFDF1DC"/>
      <name val="Calibri"/>
      <family val="2"/>
      <scheme val="minor"/>
    </font>
    <font>
      <sz val="11"/>
      <color rgb="FF333333"/>
      <name val="Calibri"/>
      <family val="2"/>
      <scheme val="minor"/>
    </font>
    <font>
      <sz val="11"/>
      <color theme="0"/>
      <name val="Calibri"/>
      <family val="2"/>
      <scheme val="minor"/>
    </font>
  </fonts>
  <fills count="8">
    <fill>
      <patternFill patternType="none"/>
    </fill>
    <fill>
      <patternFill patternType="gray125"/>
    </fill>
    <fill>
      <patternFill patternType="solid">
        <fgColor rgb="FF002060"/>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rgb="FFE69A28"/>
        <bgColor indexed="64"/>
      </patternFill>
    </fill>
    <fill>
      <patternFill patternType="solid">
        <fgColor rgb="FFFDF1DC"/>
        <bgColor indexed="64"/>
      </patternFill>
    </fill>
    <fill>
      <patternFill patternType="solid">
        <fgColor theme="1"/>
        <bgColor indexed="64"/>
      </patternFill>
    </fill>
  </fills>
  <borders count="38">
    <border>
      <left/>
      <right/>
      <top/>
      <bottom/>
      <diagonal/>
    </border>
    <border>
      <left/>
      <right style="medium">
        <color auto="1"/>
      </right>
      <top/>
      <bottom/>
      <diagonal/>
    </border>
    <border>
      <left style="thick">
        <color rgb="FFFF0000"/>
      </left>
      <right style="thick">
        <color rgb="FFFF0000"/>
      </right>
      <top style="thick">
        <color rgb="FFFF0000"/>
      </top>
      <bottom style="thick">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right/>
      <top style="medium">
        <color rgb="FFDDDDDD"/>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medium">
        <color rgb="FFFF0000"/>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thin">
        <color rgb="FF7A200D"/>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top style="medium">
        <color rgb="FFFF0000"/>
      </top>
      <bottom style="medium">
        <color rgb="FFFF0000"/>
      </bottom>
      <diagonal/>
    </border>
    <border>
      <left style="hair">
        <color auto="1"/>
      </left>
      <right style="hair">
        <color auto="1"/>
      </right>
      <top style="hair">
        <color auto="1"/>
      </top>
      <bottom style="hair">
        <color auto="1"/>
      </bottom>
      <diagonal/>
    </border>
    <border>
      <left style="medium">
        <color rgb="FFFF0000"/>
      </left>
      <right style="medium">
        <color rgb="FFFF0000"/>
      </right>
      <top style="medium">
        <color rgb="FFFF0000"/>
      </top>
      <bottom style="thick">
        <color rgb="FFFF0000"/>
      </bottom>
      <diagonal/>
    </border>
    <border>
      <left/>
      <right style="thick">
        <color rgb="FFFF0000"/>
      </right>
      <top/>
      <bottom/>
      <diagonal/>
    </border>
    <border>
      <left style="double">
        <color rgb="FF00B0F0"/>
      </left>
      <right style="double">
        <color rgb="FF00B0F0"/>
      </right>
      <top style="double">
        <color rgb="FF00B0F0"/>
      </top>
      <bottom style="double">
        <color rgb="FF00B0F0"/>
      </bottom>
      <diagonal/>
    </border>
    <border>
      <left/>
      <right style="hair">
        <color auto="1"/>
      </right>
      <top style="hair">
        <color auto="1"/>
      </top>
      <bottom style="hair">
        <color auto="1"/>
      </bottom>
      <diagonal/>
    </border>
    <border>
      <left/>
      <right style="medium">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197">
    <xf numFmtId="0" fontId="0" fillId="0" borderId="0" xfId="0"/>
    <xf numFmtId="49" fontId="0" fillId="0" borderId="0" xfId="0" applyNumberFormat="1"/>
    <xf numFmtId="0" fontId="1" fillId="2" borderId="0" xfId="0" applyFont="1" applyFill="1"/>
    <xf numFmtId="0" fontId="1" fillId="2" borderId="0" xfId="0" applyFont="1" applyFill="1" applyAlignment="1">
      <alignment horizontal="center"/>
    </xf>
    <xf numFmtId="0" fontId="0" fillId="0" borderId="0" xfId="0" applyAlignment="1">
      <alignment horizontal="center"/>
    </xf>
    <xf numFmtId="49" fontId="0" fillId="0" borderId="0" xfId="0" applyNumberFormat="1" applyAlignment="1">
      <alignment horizontal="center"/>
    </xf>
    <xf numFmtId="49" fontId="0" fillId="0" borderId="1" xfId="0" applyNumberFormat="1" applyBorder="1" applyAlignment="1">
      <alignment horizontal="center"/>
    </xf>
    <xf numFmtId="49" fontId="1" fillId="2" borderId="0" xfId="0" applyNumberFormat="1" applyFont="1" applyFill="1" applyAlignment="1">
      <alignment horizontal="center"/>
    </xf>
    <xf numFmtId="0" fontId="0" fillId="0" borderId="0" xfId="0" applyFill="1"/>
    <xf numFmtId="0" fontId="2" fillId="0" borderId="0" xfId="0" applyFont="1"/>
    <xf numFmtId="49" fontId="0" fillId="0" borderId="0" xfId="0" applyNumberFormat="1" applyBorder="1" applyAlignment="1">
      <alignment horizontal="center"/>
    </xf>
    <xf numFmtId="0" fontId="0" fillId="0" borderId="0" xfId="0" applyBorder="1" applyAlignment="1">
      <alignment horizontal="center"/>
    </xf>
    <xf numFmtId="0" fontId="0" fillId="0" borderId="0" xfId="0" applyFill="1" applyAlignment="1">
      <alignment horizontal="center"/>
    </xf>
    <xf numFmtId="0" fontId="0" fillId="0" borderId="0" xfId="0" applyAlignment="1"/>
    <xf numFmtId="0" fontId="3" fillId="0" borderId="0" xfId="0" applyFont="1" applyFill="1"/>
    <xf numFmtId="2" fontId="4" fillId="0" borderId="0" xfId="0" applyNumberFormat="1" applyFont="1"/>
    <xf numFmtId="0" fontId="0" fillId="0" borderId="0" xfId="0" applyAlignment="1">
      <alignment horizontal="center" vertical="center"/>
    </xf>
    <xf numFmtId="0" fontId="0" fillId="0" borderId="0" xfId="0" applyAlignment="1">
      <alignment horizontal="left"/>
    </xf>
    <xf numFmtId="0" fontId="3" fillId="0" borderId="0" xfId="0" applyFont="1" applyFill="1" applyAlignment="1"/>
    <xf numFmtId="0" fontId="3" fillId="0" borderId="11" xfId="1" applyFont="1" applyFill="1" applyBorder="1" applyAlignment="1">
      <alignment horizontal="left" vertical="top"/>
    </xf>
    <xf numFmtId="0" fontId="3" fillId="0" borderId="0" xfId="1" applyFont="1" applyFill="1" applyBorder="1" applyAlignment="1">
      <alignment horizontal="left" vertical="top"/>
    </xf>
    <xf numFmtId="0" fontId="3" fillId="0" borderId="0" xfId="0" applyFont="1" applyFill="1" applyBorder="1" applyAlignment="1"/>
    <xf numFmtId="0" fontId="1" fillId="2" borderId="0" xfId="1" applyFont="1" applyFill="1" applyBorder="1" applyAlignment="1">
      <alignment horizontal="left" vertical="top"/>
    </xf>
    <xf numFmtId="0" fontId="1" fillId="2" borderId="0" xfId="0" applyFont="1" applyFill="1" applyAlignment="1"/>
    <xf numFmtId="0" fontId="7" fillId="0" borderId="0" xfId="0" applyFont="1" applyFill="1" applyBorder="1" applyAlignment="1">
      <alignment horizontal="left" vertical="top"/>
    </xf>
    <xf numFmtId="0" fontId="7" fillId="0" borderId="11" xfId="0" applyFont="1" applyFill="1" applyBorder="1" applyAlignment="1">
      <alignment horizontal="left" vertical="top"/>
    </xf>
    <xf numFmtId="0" fontId="1" fillId="2" borderId="0" xfId="0" applyFont="1" applyFill="1" applyBorder="1" applyAlignment="1"/>
    <xf numFmtId="0" fontId="0" fillId="0" borderId="0" xfId="0" applyAlignment="1">
      <alignment horizontal="right"/>
    </xf>
    <xf numFmtId="0" fontId="3" fillId="0" borderId="0" xfId="0" applyFont="1" applyFill="1" applyAlignment="1">
      <alignment horizontal="right"/>
    </xf>
    <xf numFmtId="0" fontId="3" fillId="0" borderId="0" xfId="0" applyFont="1" applyFill="1" applyAlignment="1">
      <alignment horizontal="center"/>
    </xf>
    <xf numFmtId="0" fontId="1" fillId="0" borderId="0" xfId="0" applyFont="1" applyFill="1"/>
    <xf numFmtId="0" fontId="0" fillId="0" borderId="0" xfId="0" applyFont="1"/>
    <xf numFmtId="0" fontId="0" fillId="0" borderId="0" xfId="0" applyAlignment="1">
      <alignment wrapText="1"/>
    </xf>
    <xf numFmtId="0" fontId="2" fillId="0" borderId="2" xfId="0" applyFont="1" applyBorder="1" applyAlignment="1">
      <alignment horizontal="center" vertical="center"/>
    </xf>
    <xf numFmtId="0" fontId="1" fillId="2" borderId="0" xfId="0" applyFont="1" applyFill="1" applyBorder="1"/>
    <xf numFmtId="0" fontId="2" fillId="0" borderId="0" xfId="0" applyFont="1" applyAlignment="1">
      <alignment horizontal="right"/>
    </xf>
    <xf numFmtId="9" fontId="0" fillId="0" borderId="0" xfId="0" applyNumberFormat="1"/>
    <xf numFmtId="0" fontId="0" fillId="0" borderId="12" xfId="0" applyBorder="1"/>
    <xf numFmtId="0" fontId="0" fillId="0" borderId="13" xfId="0" applyBorder="1"/>
    <xf numFmtId="0" fontId="0" fillId="0" borderId="14" xfId="0" applyBorder="1"/>
    <xf numFmtId="0" fontId="0" fillId="0" borderId="15" xfId="0" applyBorder="1" applyAlignment="1">
      <alignment horizontal="right"/>
    </xf>
    <xf numFmtId="0" fontId="0" fillId="0" borderId="16" xfId="0" applyBorder="1"/>
    <xf numFmtId="0" fontId="0" fillId="0" borderId="17" xfId="0" applyBorder="1"/>
    <xf numFmtId="0" fontId="0" fillId="0" borderId="18" xfId="0" applyBorder="1"/>
    <xf numFmtId="0" fontId="0" fillId="5" borderId="19" xfId="0" applyFill="1" applyBorder="1"/>
    <xf numFmtId="0" fontId="0" fillId="5" borderId="20" xfId="0" applyFill="1" applyBorder="1"/>
    <xf numFmtId="0" fontId="0" fillId="5" borderId="21" xfId="0" applyFill="1" applyBorder="1"/>
    <xf numFmtId="0" fontId="8" fillId="6" borderId="22" xfId="0" applyFont="1" applyFill="1" applyBorder="1" applyAlignment="1">
      <alignment vertical="center"/>
    </xf>
    <xf numFmtId="0" fontId="8" fillId="6" borderId="23" xfId="0" applyFont="1" applyFill="1" applyBorder="1" applyAlignment="1">
      <alignment vertical="center"/>
    </xf>
    <xf numFmtId="0" fontId="9" fillId="6" borderId="22" xfId="0" applyFont="1" applyFill="1" applyBorder="1"/>
    <xf numFmtId="0" fontId="10" fillId="6" borderId="0" xfId="0" applyFont="1" applyFill="1" applyBorder="1" applyAlignment="1">
      <alignment horizontal="left"/>
    </xf>
    <xf numFmtId="0" fontId="11" fillId="6" borderId="0" xfId="0" applyFont="1" applyFill="1" applyBorder="1"/>
    <xf numFmtId="0" fontId="9" fillId="6" borderId="23" xfId="0" applyFont="1" applyFill="1" applyBorder="1"/>
    <xf numFmtId="0" fontId="0" fillId="6" borderId="22" xfId="0" applyFill="1" applyBorder="1"/>
    <xf numFmtId="0" fontId="12" fillId="6" borderId="0" xfId="0" applyFont="1" applyFill="1" applyBorder="1"/>
    <xf numFmtId="0" fontId="0" fillId="6" borderId="23" xfId="0" applyFill="1" applyBorder="1"/>
    <xf numFmtId="0" fontId="13" fillId="6" borderId="22" xfId="0" applyFont="1" applyFill="1" applyBorder="1" applyAlignment="1">
      <alignment vertical="center"/>
    </xf>
    <xf numFmtId="0" fontId="14" fillId="6" borderId="0" xfId="0" applyFont="1" applyFill="1" applyBorder="1" applyAlignment="1">
      <alignment horizontal="left" vertical="center"/>
    </xf>
    <xf numFmtId="0" fontId="15" fillId="6" borderId="0" xfId="0" applyFont="1" applyFill="1" applyBorder="1" applyAlignment="1">
      <alignment vertical="center"/>
    </xf>
    <xf numFmtId="0" fontId="13" fillId="6" borderId="23" xfId="0" applyFont="1" applyFill="1" applyBorder="1" applyAlignment="1">
      <alignment vertical="center"/>
    </xf>
    <xf numFmtId="0" fontId="16" fillId="6" borderId="23" xfId="0" applyFont="1" applyFill="1" applyBorder="1" applyAlignment="1">
      <alignment vertical="center"/>
    </xf>
    <xf numFmtId="0" fontId="17" fillId="6" borderId="22" xfId="0" applyFont="1" applyFill="1" applyBorder="1"/>
    <xf numFmtId="0" fontId="18" fillId="6" borderId="0" xfId="0" applyFont="1" applyFill="1" applyBorder="1"/>
    <xf numFmtId="0" fontId="17" fillId="6" borderId="23" xfId="0" applyFont="1" applyFill="1" applyBorder="1"/>
    <xf numFmtId="0" fontId="19" fillId="6" borderId="22" xfId="0" applyFont="1" applyFill="1" applyBorder="1" applyAlignment="1">
      <alignment horizontal="center"/>
    </xf>
    <xf numFmtId="0" fontId="14" fillId="6" borderId="0" xfId="0" applyFont="1" applyFill="1" applyBorder="1" applyAlignment="1">
      <alignment horizontal="center"/>
    </xf>
    <xf numFmtId="0" fontId="19" fillId="6" borderId="23" xfId="0" applyFont="1" applyFill="1" applyBorder="1" applyAlignment="1">
      <alignment horizontal="center"/>
    </xf>
    <xf numFmtId="0" fontId="15" fillId="6" borderId="0" xfId="0" applyFont="1" applyFill="1" applyBorder="1" applyAlignment="1">
      <alignment horizontal="center" vertical="center"/>
    </xf>
    <xf numFmtId="0" fontId="15" fillId="6" borderId="22" xfId="0" applyFont="1" applyFill="1" applyBorder="1" applyAlignment="1">
      <alignment vertical="center"/>
    </xf>
    <xf numFmtId="0" fontId="15" fillId="6" borderId="23" xfId="0" applyFont="1" applyFill="1" applyBorder="1" applyAlignment="1">
      <alignment vertical="center"/>
    </xf>
    <xf numFmtId="0" fontId="18" fillId="6" borderId="22" xfId="0" applyFont="1" applyFill="1" applyBorder="1"/>
    <xf numFmtId="0" fontId="18" fillId="6" borderId="23" xfId="0" applyFont="1" applyFill="1" applyBorder="1"/>
    <xf numFmtId="0" fontId="20" fillId="6" borderId="22" xfId="0" applyFont="1" applyFill="1" applyBorder="1" applyAlignment="1">
      <alignment vertical="center" wrapText="1"/>
    </xf>
    <xf numFmtId="0" fontId="20" fillId="6" borderId="23" xfId="0" applyFont="1" applyFill="1" applyBorder="1" applyAlignment="1">
      <alignment vertical="center" wrapText="1"/>
    </xf>
    <xf numFmtId="0" fontId="21" fillId="6" borderId="22" xfId="0" applyFont="1" applyFill="1" applyBorder="1"/>
    <xf numFmtId="0" fontId="22" fillId="6" borderId="24" xfId="0" applyFont="1" applyFill="1" applyBorder="1"/>
    <xf numFmtId="0" fontId="21" fillId="6" borderId="23" xfId="0" applyFont="1" applyFill="1" applyBorder="1"/>
    <xf numFmtId="0" fontId="25" fillId="5" borderId="19" xfId="0" applyFont="1" applyFill="1" applyBorder="1"/>
    <xf numFmtId="0" fontId="25" fillId="5" borderId="20" xfId="0" applyFont="1" applyFill="1" applyBorder="1"/>
    <xf numFmtId="0" fontId="25" fillId="5" borderId="21" xfId="0" applyFont="1" applyFill="1" applyBorder="1"/>
    <xf numFmtId="0" fontId="26" fillId="0" borderId="0" xfId="0" applyFont="1"/>
    <xf numFmtId="0" fontId="12" fillId="6" borderId="0" xfId="0" applyFont="1" applyFill="1" applyBorder="1" applyAlignment="1">
      <alignment wrapText="1"/>
    </xf>
    <xf numFmtId="0" fontId="0" fillId="0" borderId="0" xfId="0" applyAlignment="1">
      <alignment horizontal="center"/>
    </xf>
    <xf numFmtId="0" fontId="1" fillId="2" borderId="0" xfId="0" applyFont="1" applyFill="1" applyAlignment="1">
      <alignment horizontal="center"/>
    </xf>
    <xf numFmtId="0" fontId="27" fillId="0" borderId="0" xfId="0" applyFont="1"/>
    <xf numFmtId="0" fontId="28" fillId="0" borderId="0" xfId="0" applyFont="1"/>
    <xf numFmtId="0" fontId="15" fillId="6" borderId="0" xfId="0" applyFont="1" applyFill="1" applyBorder="1" applyAlignment="1">
      <alignment horizontal="left" vertical="top" wrapText="1"/>
    </xf>
    <xf numFmtId="0" fontId="0" fillId="0" borderId="0" xfId="0" applyFill="1" applyBorder="1"/>
    <xf numFmtId="0" fontId="30" fillId="0" borderId="0" xfId="0" applyFont="1"/>
    <xf numFmtId="0" fontId="31" fillId="6" borderId="26" xfId="0" applyFont="1" applyFill="1" applyBorder="1"/>
    <xf numFmtId="0" fontId="31" fillId="6" borderId="27" xfId="0" applyFont="1" applyFill="1" applyBorder="1"/>
    <xf numFmtId="0" fontId="31" fillId="6" borderId="28" xfId="0" applyFont="1" applyFill="1" applyBorder="1"/>
    <xf numFmtId="0" fontId="0" fillId="0" borderId="0" xfId="0" applyAlignment="1">
      <alignment horizontal="center"/>
    </xf>
    <xf numFmtId="0" fontId="1" fillId="2" borderId="0" xfId="0" applyFont="1" applyFill="1" applyAlignment="1">
      <alignment horizontal="center"/>
    </xf>
    <xf numFmtId="0" fontId="2" fillId="0" borderId="0" xfId="0" applyFont="1" applyAlignment="1">
      <alignment horizontal="left"/>
    </xf>
    <xf numFmtId="49" fontId="0" fillId="0" borderId="15" xfId="0" applyNumberFormat="1" applyBorder="1" applyAlignment="1">
      <alignment horizontal="center"/>
    </xf>
    <xf numFmtId="0" fontId="0" fillId="0" borderId="15" xfId="0" applyFill="1" applyBorder="1" applyAlignment="1">
      <alignment horizontal="center"/>
    </xf>
    <xf numFmtId="0" fontId="0" fillId="0" borderId="0" xfId="0" applyFill="1" applyBorder="1" applyAlignment="1">
      <alignment horizontal="center"/>
    </xf>
    <xf numFmtId="0" fontId="2" fillId="0" borderId="29" xfId="0" applyFont="1" applyBorder="1" applyAlignment="1">
      <alignment horizontal="center" vertical="center"/>
    </xf>
    <xf numFmtId="0" fontId="2" fillId="0" borderId="31" xfId="0" applyFont="1" applyBorder="1" applyAlignment="1">
      <alignment horizontal="center" vertical="center"/>
    </xf>
    <xf numFmtId="0" fontId="2" fillId="0" borderId="31" xfId="0" applyFont="1" applyFill="1" applyBorder="1" applyAlignment="1">
      <alignment horizontal="center" vertical="center"/>
    </xf>
    <xf numFmtId="0" fontId="2" fillId="0" borderId="30" xfId="0" applyFont="1" applyBorder="1" applyAlignment="1">
      <alignment horizontal="center" vertical="center"/>
    </xf>
    <xf numFmtId="0" fontId="0" fillId="0" borderId="0" xfId="0" applyFont="1" applyAlignment="1">
      <alignment horizontal="right"/>
    </xf>
    <xf numFmtId="0" fontId="2" fillId="0" borderId="0" xfId="0" applyFont="1" applyAlignment="1">
      <alignment wrapText="1"/>
    </xf>
    <xf numFmtId="0" fontId="0" fillId="0" borderId="0" xfId="0" applyFill="1" applyAlignment="1">
      <alignment horizontal="left"/>
    </xf>
    <xf numFmtId="0" fontId="0" fillId="2" borderId="0" xfId="0" applyFill="1"/>
    <xf numFmtId="0" fontId="0" fillId="0" borderId="33" xfId="0" applyBorder="1"/>
    <xf numFmtId="0" fontId="0" fillId="0" borderId="15" xfId="0" applyBorder="1" applyAlignment="1">
      <alignment horizontal="center"/>
    </xf>
    <xf numFmtId="0" fontId="0" fillId="0" borderId="0" xfId="0" applyFont="1" applyAlignment="1">
      <alignment horizontal="center"/>
    </xf>
    <xf numFmtId="2" fontId="0" fillId="0" borderId="0" xfId="0" applyNumberFormat="1" applyFont="1"/>
    <xf numFmtId="2" fontId="32" fillId="0" borderId="0" xfId="0" applyNumberFormat="1" applyFont="1"/>
    <xf numFmtId="0" fontId="1" fillId="2" borderId="3" xfId="0" applyFont="1" applyFill="1" applyBorder="1"/>
    <xf numFmtId="0" fontId="1" fillId="2" borderId="5" xfId="0" applyFont="1" applyFill="1" applyBorder="1"/>
    <xf numFmtId="0" fontId="0" fillId="0" borderId="6" xfId="0" applyBorder="1"/>
    <xf numFmtId="0" fontId="0" fillId="0" borderId="0" xfId="0" applyBorder="1"/>
    <xf numFmtId="9" fontId="0" fillId="0" borderId="0" xfId="0" applyNumberFormat="1" applyBorder="1"/>
    <xf numFmtId="0" fontId="0" fillId="0" borderId="7" xfId="0" applyBorder="1"/>
    <xf numFmtId="0" fontId="0" fillId="0" borderId="8" xfId="0" applyBorder="1"/>
    <xf numFmtId="0" fontId="0" fillId="0" borderId="9" xfId="0" applyBorder="1"/>
    <xf numFmtId="9" fontId="0" fillId="0" borderId="9" xfId="0" applyNumberFormat="1" applyBorder="1"/>
    <xf numFmtId="0" fontId="0" fillId="0" borderId="10" xfId="0" applyBorder="1"/>
    <xf numFmtId="0" fontId="0" fillId="0" borderId="0" xfId="0" applyAlignment="1">
      <alignment horizontal="center"/>
    </xf>
    <xf numFmtId="0" fontId="2" fillId="0" borderId="0" xfId="0" applyFont="1" applyAlignment="1">
      <alignment horizontal="center" wrapText="1"/>
    </xf>
    <xf numFmtId="0" fontId="1" fillId="2" borderId="0" xfId="0" applyFont="1" applyFill="1" applyAlignment="1">
      <alignment horizontal="center"/>
    </xf>
    <xf numFmtId="49" fontId="1" fillId="2" borderId="0" xfId="0" applyNumberFormat="1" applyFont="1" applyFill="1" applyAlignment="1">
      <alignment horizontal="center"/>
    </xf>
    <xf numFmtId="0" fontId="0" fillId="0" borderId="0" xfId="0" applyAlignment="1">
      <alignment horizontal="center"/>
    </xf>
    <xf numFmtId="0" fontId="1" fillId="2" borderId="0" xfId="0" applyFont="1" applyFill="1" applyAlignment="1">
      <alignment horizontal="center"/>
    </xf>
    <xf numFmtId="0" fontId="0" fillId="0" borderId="0" xfId="0" applyBorder="1" applyAlignment="1">
      <alignment horizontal="center"/>
    </xf>
    <xf numFmtId="0" fontId="0" fillId="0" borderId="15" xfId="0" applyBorder="1"/>
    <xf numFmtId="0" fontId="1" fillId="0" borderId="0" xfId="0" applyFont="1" applyFill="1" applyAlignment="1"/>
    <xf numFmtId="0" fontId="0" fillId="0" borderId="0" xfId="0" applyFill="1" applyAlignment="1"/>
    <xf numFmtId="0" fontId="0" fillId="0" borderId="0" xfId="0" applyFill="1" applyBorder="1" applyAlignment="1"/>
    <xf numFmtId="0" fontId="0" fillId="0" borderId="0" xfId="0" applyFill="1" applyAlignment="1">
      <alignment horizontal="right"/>
    </xf>
    <xf numFmtId="0" fontId="3" fillId="0" borderId="0" xfId="0" applyFont="1" applyFill="1" applyBorder="1"/>
    <xf numFmtId="0" fontId="2" fillId="0" borderId="0" xfId="0" applyFont="1" applyFill="1" applyBorder="1"/>
    <xf numFmtId="2" fontId="0" fillId="0" borderId="0" xfId="0" applyNumberFormat="1" applyAlignment="1"/>
    <xf numFmtId="2" fontId="0" fillId="0" borderId="0" xfId="0" applyNumberFormat="1" applyAlignment="1">
      <alignment horizontal="right"/>
    </xf>
    <xf numFmtId="2" fontId="0" fillId="0" borderId="0" xfId="0" applyNumberFormat="1" applyAlignment="1">
      <alignment horizontal="center"/>
    </xf>
    <xf numFmtId="0" fontId="1" fillId="2" borderId="0" xfId="0" applyFont="1" applyFill="1" applyBorder="1" applyAlignment="1">
      <alignment horizontal="center"/>
    </xf>
    <xf numFmtId="2" fontId="1" fillId="2" borderId="0" xfId="0" applyNumberFormat="1" applyFont="1" applyFill="1" applyAlignment="1">
      <alignment horizontal="center"/>
    </xf>
    <xf numFmtId="0" fontId="1" fillId="2" borderId="0" xfId="0" applyFont="1" applyFill="1" applyAlignment="1">
      <alignment horizontal="left"/>
    </xf>
    <xf numFmtId="0" fontId="2" fillId="0" borderId="35" xfId="0" applyFont="1" applyBorder="1" applyAlignment="1">
      <alignment horizontal="center"/>
    </xf>
    <xf numFmtId="2" fontId="4" fillId="0" borderId="0" xfId="0" applyNumberFormat="1" applyFont="1" applyAlignment="1">
      <alignment horizontal="center"/>
    </xf>
    <xf numFmtId="0" fontId="14" fillId="6" borderId="0" xfId="0" applyFont="1" applyFill="1" applyBorder="1" applyAlignment="1">
      <alignment horizontal="left" vertical="center"/>
    </xf>
    <xf numFmtId="0" fontId="1" fillId="7" borderId="0" xfId="0" applyFont="1" applyFill="1"/>
    <xf numFmtId="2" fontId="2" fillId="0" borderId="35" xfId="0" applyNumberFormat="1" applyFont="1" applyBorder="1" applyAlignment="1">
      <alignment horizontal="center"/>
    </xf>
    <xf numFmtId="1" fontId="2" fillId="0" borderId="35" xfId="0" applyNumberFormat="1" applyFont="1" applyBorder="1" applyAlignment="1">
      <alignment horizontal="center"/>
    </xf>
    <xf numFmtId="1" fontId="3" fillId="0" borderId="0" xfId="0" applyNumberFormat="1" applyFont="1" applyFill="1"/>
    <xf numFmtId="0" fontId="1" fillId="7" borderId="0" xfId="0" applyFont="1" applyFill="1" applyAlignment="1"/>
    <xf numFmtId="0" fontId="0" fillId="0" borderId="29" xfId="0" applyBorder="1"/>
    <xf numFmtId="0" fontId="15" fillId="6" borderId="0" xfId="0" applyFont="1" applyFill="1" applyBorder="1" applyAlignment="1">
      <alignment vertical="top" wrapText="1"/>
    </xf>
    <xf numFmtId="0" fontId="1" fillId="2" borderId="0" xfId="0" applyFont="1" applyFill="1" applyAlignment="1">
      <alignment horizontal="center"/>
    </xf>
    <xf numFmtId="0" fontId="1" fillId="2" borderId="0" xfId="0" applyFont="1" applyFill="1" applyBorder="1" applyAlignment="1">
      <alignment horizontal="center" wrapText="1"/>
    </xf>
    <xf numFmtId="0" fontId="2" fillId="0" borderId="0" xfId="0" applyFont="1" applyFill="1" applyBorder="1" applyAlignment="1">
      <alignment horizontal="left"/>
    </xf>
    <xf numFmtId="0" fontId="3" fillId="0" borderId="0" xfId="0" applyFont="1" applyFill="1" applyBorder="1" applyAlignment="1">
      <alignment horizontal="left" vertical="center"/>
    </xf>
    <xf numFmtId="0" fontId="1" fillId="2" borderId="0" xfId="0" applyFont="1" applyFill="1" applyBorder="1" applyAlignment="1">
      <alignment horizontal="left" vertical="center"/>
    </xf>
    <xf numFmtId="0" fontId="1" fillId="0" borderId="0" xfId="0" applyFont="1" applyFill="1" applyBorder="1" applyAlignment="1">
      <alignment horizontal="left" vertical="center"/>
    </xf>
    <xf numFmtId="0" fontId="33" fillId="0" borderId="0" xfId="0" applyFont="1" applyFill="1"/>
    <xf numFmtId="0" fontId="0" fillId="0" borderId="0" xfId="0" applyNumberFormat="1"/>
    <xf numFmtId="49" fontId="0" fillId="0" borderId="20" xfId="0" applyNumberFormat="1" applyBorder="1" applyAlignment="1">
      <alignment horizontal="center"/>
    </xf>
    <xf numFmtId="0" fontId="0" fillId="0" borderId="20" xfId="0" applyBorder="1" applyAlignment="1">
      <alignment horizontal="center"/>
    </xf>
    <xf numFmtId="49" fontId="0" fillId="0" borderId="37" xfId="0" applyNumberFormat="1" applyBorder="1" applyAlignment="1">
      <alignment horizontal="center"/>
    </xf>
    <xf numFmtId="0" fontId="0" fillId="0" borderId="21" xfId="0" applyBorder="1" applyAlignment="1">
      <alignment horizontal="center"/>
    </xf>
    <xf numFmtId="49" fontId="1" fillId="2" borderId="0" xfId="0" applyNumberFormat="1" applyFont="1" applyFill="1" applyAlignment="1">
      <alignment horizontal="center"/>
    </xf>
    <xf numFmtId="0" fontId="0" fillId="0" borderId="0" xfId="0" quotePrefix="1"/>
    <xf numFmtId="49" fontId="3" fillId="0" borderId="0" xfId="0" applyNumberFormat="1" applyFont="1" applyFill="1"/>
    <xf numFmtId="49" fontId="1" fillId="2" borderId="0" xfId="0" applyNumberFormat="1" applyFont="1" applyFill="1"/>
    <xf numFmtId="49" fontId="0" fillId="0" borderId="19" xfId="0" applyNumberFormat="1" applyBorder="1" applyAlignment="1">
      <alignment horizontal="center"/>
    </xf>
    <xf numFmtId="0" fontId="0" fillId="0" borderId="0" xfId="0" applyNumberFormat="1" applyAlignment="1">
      <alignment horizontal="center"/>
    </xf>
    <xf numFmtId="0" fontId="32" fillId="0" borderId="0" xfId="0" applyNumberFormat="1" applyFont="1"/>
    <xf numFmtId="0" fontId="29" fillId="6" borderId="25" xfId="0" applyFont="1" applyFill="1" applyBorder="1" applyAlignment="1">
      <alignment horizontal="left" vertical="center"/>
    </xf>
    <xf numFmtId="2" fontId="14" fillId="6" borderId="0" xfId="0" applyNumberFormat="1" applyFont="1" applyFill="1" applyBorder="1" applyAlignment="1">
      <alignment horizontal="left" vertical="center"/>
    </xf>
    <xf numFmtId="0" fontId="14" fillId="6" borderId="0" xfId="0" applyFont="1" applyFill="1" applyBorder="1" applyAlignment="1">
      <alignment horizontal="left" vertical="center"/>
    </xf>
    <xf numFmtId="0" fontId="15" fillId="6" borderId="0" xfId="0" applyFont="1" applyFill="1" applyBorder="1" applyAlignment="1">
      <alignment horizontal="left" wrapText="1"/>
    </xf>
    <xf numFmtId="1" fontId="14" fillId="6" borderId="0" xfId="0" applyNumberFormat="1" applyFont="1" applyFill="1" applyBorder="1" applyAlignment="1">
      <alignment horizontal="center" vertical="center"/>
    </xf>
    <xf numFmtId="0" fontId="15" fillId="6" borderId="0" xfId="0" applyFont="1" applyFill="1" applyBorder="1" applyAlignment="1">
      <alignment horizontal="left" vertical="top" wrapText="1"/>
    </xf>
    <xf numFmtId="0" fontId="15" fillId="6" borderId="0" xfId="0" applyFont="1" applyFill="1" applyBorder="1" applyAlignment="1">
      <alignment horizontal="left" vertical="center" wrapText="1"/>
    </xf>
    <xf numFmtId="0" fontId="14" fillId="6" borderId="0" xfId="0" applyFont="1" applyFill="1" applyBorder="1" applyAlignment="1">
      <alignment horizontal="left" vertical="center" wrapText="1"/>
    </xf>
    <xf numFmtId="0" fontId="0" fillId="0" borderId="36" xfId="0" applyBorder="1" applyAlignment="1">
      <alignment horizontal="center" vertical="top" wrapText="1"/>
    </xf>
    <xf numFmtId="0" fontId="0" fillId="0" borderId="32" xfId="0" applyBorder="1" applyAlignment="1">
      <alignment horizontal="center" vertical="top" wrapText="1"/>
    </xf>
    <xf numFmtId="0" fontId="1" fillId="7" borderId="0" xfId="0" applyFont="1" applyFill="1" applyAlignment="1">
      <alignment horizontal="center"/>
    </xf>
    <xf numFmtId="0" fontId="2" fillId="0" borderId="0" xfId="0" applyFont="1" applyAlignment="1">
      <alignment horizontal="center" wrapText="1"/>
    </xf>
    <xf numFmtId="0" fontId="0" fillId="0" borderId="29" xfId="0" applyBorder="1" applyAlignment="1">
      <alignment horizontal="center"/>
    </xf>
    <xf numFmtId="0" fontId="0" fillId="0" borderId="30" xfId="0" applyBorder="1" applyAlignment="1">
      <alignment horizontal="center"/>
    </xf>
    <xf numFmtId="0" fontId="1" fillId="2" borderId="0" xfId="0" applyFont="1" applyFill="1" applyAlignment="1">
      <alignment horizontal="center"/>
    </xf>
    <xf numFmtId="0" fontId="0" fillId="0" borderId="0" xfId="0" applyFill="1" applyAlignment="1">
      <alignment horizontal="center"/>
    </xf>
    <xf numFmtId="49" fontId="1" fillId="2" borderId="0" xfId="0" applyNumberFormat="1" applyFont="1" applyFill="1" applyAlignment="1">
      <alignment horizontal="center"/>
    </xf>
    <xf numFmtId="0" fontId="0" fillId="0" borderId="0" xfId="0" applyAlignment="1">
      <alignment horizontal="center"/>
    </xf>
    <xf numFmtId="0" fontId="2" fillId="0" borderId="29" xfId="0" applyFont="1" applyFill="1" applyBorder="1" applyAlignment="1">
      <alignment horizontal="center" wrapText="1"/>
    </xf>
    <xf numFmtId="0" fontId="2" fillId="0" borderId="30" xfId="0" applyFont="1" applyFill="1" applyBorder="1" applyAlignment="1">
      <alignment horizontal="center" wrapText="1"/>
    </xf>
    <xf numFmtId="0" fontId="0" fillId="0" borderId="0" xfId="0" applyBorder="1" applyAlignment="1">
      <alignment horizontal="center"/>
    </xf>
    <xf numFmtId="0" fontId="1" fillId="2" borderId="34" xfId="0" applyFont="1" applyFill="1" applyBorder="1" applyAlignment="1">
      <alignment horizontal="center"/>
    </xf>
    <xf numFmtId="0" fontId="1" fillId="2" borderId="0" xfId="0" applyFont="1" applyFill="1" applyBorder="1" applyAlignment="1">
      <alignment horizontal="center"/>
    </xf>
    <xf numFmtId="0" fontId="1" fillId="2" borderId="4" xfId="0" applyFont="1" applyFill="1" applyBorder="1" applyAlignment="1">
      <alignment horizontal="center"/>
    </xf>
    <xf numFmtId="0" fontId="1" fillId="3" borderId="0" xfId="0" applyFont="1" applyFill="1" applyAlignment="1">
      <alignment horizontal="center" vertical="center" wrapText="1"/>
    </xf>
    <xf numFmtId="49" fontId="1" fillId="4" borderId="0" xfId="0" applyNumberFormat="1" applyFont="1" applyFill="1" applyAlignment="1">
      <alignment horizontal="center" vertical="center" wrapText="1"/>
    </xf>
    <xf numFmtId="0" fontId="0" fillId="0" borderId="0" xfId="0" applyNumberFormat="1" applyAlignment="1">
      <alignment horizontal="center"/>
    </xf>
  </cellXfs>
  <cellStyles count="2">
    <cellStyle name="Hyperlink" xfId="1" builtinId="8"/>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DF1DC"/>
      <color rgb="FF7A20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Scroll" dx="26" fmlaLink="$F$48" horiz="1" max="100" page="0" val="12"/>
</file>

<file path=xl/ctrlProps/ctrlProp2.xml><?xml version="1.0" encoding="utf-8"?>
<formControlPr xmlns="http://schemas.microsoft.com/office/spreadsheetml/2009/9/main" objectType="Scroll" dx="26" fmlaLink="$F$50" horiz="1" max="100" page="10" val="7"/>
</file>

<file path=xl/ctrlProps/ctrlProp3.xml><?xml version="1.0" encoding="utf-8"?>
<formControlPr xmlns="http://schemas.microsoft.com/office/spreadsheetml/2009/9/main" objectType="Scroll" dx="26" fmlaLink="$F$51" horiz="1" max="100" page="10" val="0"/>
</file>

<file path=xl/ctrlProps/ctrlProp4.xml><?xml version="1.0" encoding="utf-8"?>
<formControlPr xmlns="http://schemas.microsoft.com/office/spreadsheetml/2009/9/main" objectType="Scroll" dx="26" fmlaLink="$F$49" horiz="1" max="100" page="10" val="7"/>
</file>

<file path=xl/drawings/_rels/drawing3.xml.rels><?xml version="1.0" encoding="UTF-8" standalone="yes"?>
<Relationships xmlns="http://schemas.openxmlformats.org/package/2006/relationships"><Relationship Id="rId1" Type="http://schemas.openxmlformats.org/officeDocument/2006/relationships/hyperlink" Target="http://engl393-dnd5th.wikia.com/wiki/Languages?action=edit&amp;section=2" TargetMode="External"/></Relationships>
</file>

<file path=xl/drawings/drawing1.xml><?xml version="1.0" encoding="utf-8"?>
<xdr:wsDr xmlns:xdr="http://schemas.openxmlformats.org/drawingml/2006/spreadsheetDrawing" xmlns:a="http://schemas.openxmlformats.org/drawingml/2006/main">
  <xdr:twoCellAnchor>
    <xdr:from>
      <xdr:col>2</xdr:col>
      <xdr:colOff>19050</xdr:colOff>
      <xdr:row>4</xdr:row>
      <xdr:rowOff>59056</xdr:rowOff>
    </xdr:from>
    <xdr:to>
      <xdr:col>43</xdr:col>
      <xdr:colOff>38100</xdr:colOff>
      <xdr:row>4</xdr:row>
      <xdr:rowOff>104775</xdr:rowOff>
    </xdr:to>
    <xdr:sp macro="" textlink="">
      <xdr:nvSpPr>
        <xdr:cNvPr id="10" name="Isosceles Triangle 9">
          <a:extLst>
            <a:ext uri="{FF2B5EF4-FFF2-40B4-BE49-F238E27FC236}">
              <a16:creationId xmlns:a16="http://schemas.microsoft.com/office/drawing/2014/main" id="{00000000-0008-0000-0000-00000A000000}"/>
            </a:ext>
          </a:extLst>
        </xdr:cNvPr>
        <xdr:cNvSpPr/>
      </xdr:nvSpPr>
      <xdr:spPr>
        <a:xfrm rot="5400000">
          <a:off x="1594485" y="-761999"/>
          <a:ext cx="45719" cy="2830830"/>
        </a:xfrm>
        <a:prstGeom prst="triangle">
          <a:avLst/>
        </a:prstGeom>
        <a:solidFill>
          <a:srgbClr val="7A200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20053</xdr:colOff>
      <xdr:row>8</xdr:row>
      <xdr:rowOff>51635</xdr:rowOff>
    </xdr:from>
    <xdr:to>
      <xdr:col>43</xdr:col>
      <xdr:colOff>39103</xdr:colOff>
      <xdr:row>8</xdr:row>
      <xdr:rowOff>87829</xdr:rowOff>
    </xdr:to>
    <xdr:sp macro="" textlink="">
      <xdr:nvSpPr>
        <xdr:cNvPr id="11" name="Isosceles Triangle 10">
          <a:extLst>
            <a:ext uri="{FF2B5EF4-FFF2-40B4-BE49-F238E27FC236}">
              <a16:creationId xmlns:a16="http://schemas.microsoft.com/office/drawing/2014/main" id="{00000000-0008-0000-0000-00000B000000}"/>
            </a:ext>
          </a:extLst>
        </xdr:cNvPr>
        <xdr:cNvSpPr/>
      </xdr:nvSpPr>
      <xdr:spPr>
        <a:xfrm rot="5400000">
          <a:off x="1600251" y="-233163"/>
          <a:ext cx="36194" cy="2830830"/>
        </a:xfrm>
        <a:prstGeom prst="triangle">
          <a:avLst/>
        </a:prstGeom>
        <a:solidFill>
          <a:srgbClr val="7A200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20053</xdr:colOff>
      <xdr:row>11</xdr:row>
      <xdr:rowOff>70685</xdr:rowOff>
    </xdr:from>
    <xdr:to>
      <xdr:col>43</xdr:col>
      <xdr:colOff>39103</xdr:colOff>
      <xdr:row>11</xdr:row>
      <xdr:rowOff>106879</xdr:rowOff>
    </xdr:to>
    <xdr:sp macro="" textlink="">
      <xdr:nvSpPr>
        <xdr:cNvPr id="12" name="Isosceles Triangle 11">
          <a:extLst>
            <a:ext uri="{FF2B5EF4-FFF2-40B4-BE49-F238E27FC236}">
              <a16:creationId xmlns:a16="http://schemas.microsoft.com/office/drawing/2014/main" id="{00000000-0008-0000-0000-00000C000000}"/>
            </a:ext>
          </a:extLst>
        </xdr:cNvPr>
        <xdr:cNvSpPr/>
      </xdr:nvSpPr>
      <xdr:spPr>
        <a:xfrm rot="5400000">
          <a:off x="1600251" y="189747"/>
          <a:ext cx="36194" cy="2830830"/>
        </a:xfrm>
        <a:prstGeom prst="triangle">
          <a:avLst/>
        </a:prstGeom>
        <a:solidFill>
          <a:srgbClr val="7A200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20053</xdr:colOff>
      <xdr:row>17</xdr:row>
      <xdr:rowOff>70685</xdr:rowOff>
    </xdr:from>
    <xdr:to>
      <xdr:col>43</xdr:col>
      <xdr:colOff>39103</xdr:colOff>
      <xdr:row>17</xdr:row>
      <xdr:rowOff>106879</xdr:rowOff>
    </xdr:to>
    <xdr:sp macro="" textlink="">
      <xdr:nvSpPr>
        <xdr:cNvPr id="13" name="Isosceles Triangle 12">
          <a:extLst>
            <a:ext uri="{FF2B5EF4-FFF2-40B4-BE49-F238E27FC236}">
              <a16:creationId xmlns:a16="http://schemas.microsoft.com/office/drawing/2014/main" id="{00000000-0008-0000-0000-00000D000000}"/>
            </a:ext>
          </a:extLst>
        </xdr:cNvPr>
        <xdr:cNvSpPr/>
      </xdr:nvSpPr>
      <xdr:spPr>
        <a:xfrm rot="5400000">
          <a:off x="1600251" y="860307"/>
          <a:ext cx="36194" cy="2830830"/>
        </a:xfrm>
        <a:prstGeom prst="triangle">
          <a:avLst/>
        </a:prstGeom>
        <a:solidFill>
          <a:srgbClr val="7A200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xdr:colOff>
          <xdr:row>47</xdr:row>
          <xdr:rowOff>7620</xdr:rowOff>
        </xdr:from>
        <xdr:to>
          <xdr:col>4</xdr:col>
          <xdr:colOff>693420</xdr:colOff>
          <xdr:row>48</xdr:row>
          <xdr:rowOff>7620</xdr:rowOff>
        </xdr:to>
        <xdr:sp macro="" textlink="">
          <xdr:nvSpPr>
            <xdr:cNvPr id="5126" name="Scroll Bar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49</xdr:row>
          <xdr:rowOff>7620</xdr:rowOff>
        </xdr:from>
        <xdr:to>
          <xdr:col>4</xdr:col>
          <xdr:colOff>693420</xdr:colOff>
          <xdr:row>50</xdr:row>
          <xdr:rowOff>7620</xdr:rowOff>
        </xdr:to>
        <xdr:sp macro="" textlink="">
          <xdr:nvSpPr>
            <xdr:cNvPr id="5127" name="Scroll Bar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50</xdr:row>
          <xdr:rowOff>7620</xdr:rowOff>
        </xdr:from>
        <xdr:to>
          <xdr:col>4</xdr:col>
          <xdr:colOff>685800</xdr:colOff>
          <xdr:row>51</xdr:row>
          <xdr:rowOff>0</xdr:rowOff>
        </xdr:to>
        <xdr:sp macro="" textlink="">
          <xdr:nvSpPr>
            <xdr:cNvPr id="5128" name="Scroll Bar 8" hidden="1">
              <a:extLst>
                <a:ext uri="{63B3BB69-23CF-44E3-9099-C40C66FF867C}">
                  <a14:compatExt spid="_x0000_s5128"/>
                </a:ext>
                <a:ext uri="{FF2B5EF4-FFF2-40B4-BE49-F238E27FC236}">
                  <a16:creationId xmlns:a16="http://schemas.microsoft.com/office/drawing/2014/main" id="{00000000-0008-0000-0200-000008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xdr:colOff>
          <xdr:row>48</xdr:row>
          <xdr:rowOff>7620</xdr:rowOff>
        </xdr:from>
        <xdr:to>
          <xdr:col>4</xdr:col>
          <xdr:colOff>693420</xdr:colOff>
          <xdr:row>49</xdr:row>
          <xdr:rowOff>7620</xdr:rowOff>
        </xdr:to>
        <xdr:sp macro="" textlink="">
          <xdr:nvSpPr>
            <xdr:cNvPr id="5129" name="Scroll Bar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3</xdr:row>
      <xdr:rowOff>121920</xdr:rowOff>
    </xdr:to>
    <xdr:sp macro="" textlink="">
      <xdr:nvSpPr>
        <xdr:cNvPr id="7169" name="AutoShape 1" descr="data:image/gif;base64,R0lGODlhAQABAIABAAAAAP///yH5BAEAAAEALAAAAAABAAEAQAICTAEAOw%3D%3D">
          <a:hlinkClick xmlns:r="http://schemas.openxmlformats.org/officeDocument/2006/relationships" r:id="rId1" tooltip="Edit Exotic Languages section"/>
          <a:extLst>
            <a:ext uri="{FF2B5EF4-FFF2-40B4-BE49-F238E27FC236}">
              <a16:creationId xmlns:a16="http://schemas.microsoft.com/office/drawing/2014/main" id="{00000000-0008-0000-0300-0000011C0000}"/>
            </a:ext>
          </a:extLst>
        </xdr:cNvPr>
        <xdr:cNvSpPr>
          <a:spLocks noChangeAspect="1" noChangeArrowheads="1"/>
        </xdr:cNvSpPr>
      </xdr:nvSpPr>
      <xdr:spPr bwMode="auto">
        <a:xfrm>
          <a:off x="0" y="25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hyperlink" Target="https://roll20.net/compendium/dnd5e/Melee%20Weapons" TargetMode="External"/><Relationship Id="rId2" Type="http://schemas.openxmlformats.org/officeDocument/2006/relationships/hyperlink" Target="https://roll20.net/compendium/dnd5e/Battleaxe" TargetMode="External"/><Relationship Id="rId1" Type="http://schemas.openxmlformats.org/officeDocument/2006/relationships/hyperlink" Target="https://roll20.net/compendium/dnd5e/Melee%20Weapons" TargetMode="External"/><Relationship Id="rId4"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BB47"/>
  <sheetViews>
    <sheetView zoomScaleNormal="100" workbookViewId="0">
      <selection activeCell="AU23" sqref="AU23"/>
    </sheetView>
  </sheetViews>
  <sheetFormatPr defaultRowHeight="14.4"/>
  <cols>
    <col min="2" max="8" width="1" customWidth="1"/>
    <col min="9" max="9" width="1.5546875" customWidth="1"/>
    <col min="10" max="10" width="1.44140625" customWidth="1"/>
    <col min="11" max="45" width="1" customWidth="1"/>
    <col min="47" max="47" width="35.5546875" bestFit="1" customWidth="1"/>
    <col min="48" max="48" width="10.44140625" customWidth="1"/>
  </cols>
  <sheetData>
    <row r="2" spans="2:54" ht="3.9" customHeight="1">
      <c r="B2" s="44"/>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6" t="s">
        <v>504</v>
      </c>
    </row>
    <row r="3" spans="2:54" ht="22.2" customHeight="1">
      <c r="B3" s="47"/>
      <c r="C3" s="170" t="s">
        <v>659</v>
      </c>
      <c r="D3" s="170"/>
      <c r="E3" s="170"/>
      <c r="F3" s="170"/>
      <c r="G3" s="170"/>
      <c r="H3" s="170"/>
      <c r="I3" s="170"/>
      <c r="J3" s="170"/>
      <c r="K3" s="170"/>
      <c r="L3" s="170"/>
      <c r="M3" s="170"/>
      <c r="N3" s="170"/>
      <c r="O3" s="170"/>
      <c r="P3" s="170"/>
      <c r="Q3" s="170"/>
      <c r="R3" s="170"/>
      <c r="S3" s="170"/>
      <c r="T3" s="170"/>
      <c r="U3" s="170"/>
      <c r="V3" s="170"/>
      <c r="W3" s="170"/>
      <c r="X3" s="170"/>
      <c r="Y3" s="170"/>
      <c r="Z3" s="170"/>
      <c r="AA3" s="170"/>
      <c r="AB3" s="170"/>
      <c r="AC3" s="170"/>
      <c r="AD3" s="170"/>
      <c r="AE3" s="170"/>
      <c r="AF3" s="170"/>
      <c r="AG3" s="170"/>
      <c r="AH3" s="170"/>
      <c r="AI3" s="170"/>
      <c r="AJ3" s="170"/>
      <c r="AK3" s="170"/>
      <c r="AL3" s="170"/>
      <c r="AM3" s="170"/>
      <c r="AN3" s="170"/>
      <c r="AO3" s="170"/>
      <c r="AP3" s="170"/>
      <c r="AQ3" s="170"/>
      <c r="AR3" s="170"/>
      <c r="AS3" s="48"/>
      <c r="AU3" s="88" t="s">
        <v>349</v>
      </c>
      <c r="AV3" t="s">
        <v>546</v>
      </c>
    </row>
    <row r="4" spans="2:54" ht="10.199999999999999" customHeight="1">
      <c r="B4" s="49"/>
      <c r="C4" s="50" t="str">
        <f>'Modified WS'!C8&amp;" "&amp;'Modified WS'!C4&amp;", "&amp;'Modified WS'!C5</f>
        <v>Large Humanoid, Lawful Neutral</v>
      </c>
      <c r="D4" s="51"/>
      <c r="E4" s="51"/>
      <c r="F4" s="51"/>
      <c r="G4" s="51"/>
      <c r="H4" s="51"/>
      <c r="I4" s="51"/>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1"/>
      <c r="AP4" s="51"/>
      <c r="AQ4" s="51"/>
      <c r="AR4" s="51"/>
      <c r="AS4" s="52"/>
      <c r="AU4" s="85" t="str">
        <f>'Modified WS'!B15</f>
        <v>Spellcasting</v>
      </c>
      <c r="AV4" s="84" t="str">
        <f>'Modified WS'!D15</f>
        <v>Varies</v>
      </c>
    </row>
    <row r="5" spans="2:54">
      <c r="B5" s="53"/>
      <c r="C5" s="81"/>
      <c r="D5" s="54"/>
      <c r="E5" s="54"/>
      <c r="F5" s="54"/>
      <c r="G5" s="54"/>
      <c r="H5" s="54"/>
      <c r="I5" s="54"/>
      <c r="J5" s="54"/>
      <c r="K5" s="54"/>
      <c r="L5" s="54"/>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4"/>
      <c r="AR5" s="54"/>
      <c r="AS5" s="55"/>
      <c r="AU5" s="85" t="str">
        <f>'Modified WS'!B18</f>
        <v>Avoidance</v>
      </c>
      <c r="AV5" s="84" t="str">
        <f>'Modified WS'!D18</f>
        <v>If the monster is subjected to an effect that allows it to make a saving throw to take only half damage, it instead takes no damage if it succeeds on the saving throw, and only half damage if it fails.</v>
      </c>
    </row>
    <row r="6" spans="2:54">
      <c r="B6" s="56"/>
      <c r="C6" s="57" t="str">
        <f>"Armor Class "&amp;'Modified WS'!G80&amp;" ("&amp;'Modified WS'!G71&amp;")"</f>
        <v>Armor Class 26 (Padded)</v>
      </c>
      <c r="D6" s="57"/>
      <c r="E6" s="57"/>
      <c r="F6" s="57"/>
      <c r="G6" s="57"/>
      <c r="H6" s="57"/>
      <c r="I6" s="57"/>
      <c r="J6" s="57"/>
      <c r="K6" s="57"/>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9"/>
      <c r="AU6" s="85" t="str">
        <f>'Modified WS'!B21</f>
        <v>Standing Leap</v>
      </c>
      <c r="AV6" s="84" t="str">
        <f>'Modified WS'!D21</f>
        <v>The monster''s long jump is up to 20 feet and its high jump is up to 10 feet, with or without a running start.</v>
      </c>
    </row>
    <row r="7" spans="2:54">
      <c r="B7" s="56"/>
      <c r="C7" s="57" t="str">
        <f>"Hit Points "&amp;'Modified WS'!H80&amp;" "&amp;'Modified WS'!H83</f>
        <v>Hit Points 108 (17d10 + 17)</v>
      </c>
      <c r="D7" s="58"/>
      <c r="E7" s="58"/>
      <c r="F7" s="58"/>
      <c r="G7" s="58"/>
      <c r="H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c r="AK7" s="58"/>
      <c r="AL7" s="58"/>
      <c r="AM7" s="58"/>
      <c r="AN7" s="58"/>
      <c r="AO7" s="58"/>
      <c r="AP7" s="58"/>
      <c r="AQ7" s="58"/>
      <c r="AR7" s="58"/>
      <c r="AS7" s="60"/>
      <c r="AU7" s="85">
        <f>'Modified WS'!B24</f>
        <v>0</v>
      </c>
      <c r="AV7" s="84" t="str">
        <f>'Modified WS'!D24</f>
        <v/>
      </c>
    </row>
    <row r="8" spans="2:54" ht="18">
      <c r="B8" s="56"/>
      <c r="C8" s="57" t="str">
        <f>"Speed "&amp;'Modified WS'!B100</f>
        <v>Speed 35 ft., Swimming 40 ft.</v>
      </c>
      <c r="D8" s="58"/>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S8" s="59"/>
      <c r="AU8" s="80">
        <f>'Modified WS'!B27</f>
        <v>0</v>
      </c>
      <c r="AV8" t="str">
        <f>'Modified WS'!D27</f>
        <v/>
      </c>
    </row>
    <row r="9" spans="2:54">
      <c r="B9" s="61"/>
      <c r="C9" s="62"/>
      <c r="D9" s="62"/>
      <c r="E9" s="62"/>
      <c r="F9" s="62"/>
      <c r="G9" s="62"/>
      <c r="H9" s="62"/>
      <c r="I9" s="62"/>
      <c r="J9" s="62"/>
      <c r="K9" s="62"/>
      <c r="L9" s="62"/>
      <c r="M9" s="62"/>
      <c r="N9" s="62"/>
      <c r="O9" s="62"/>
      <c r="P9" s="62"/>
      <c r="Q9" s="62"/>
      <c r="R9" s="62"/>
      <c r="S9" s="62"/>
      <c r="T9" s="62"/>
      <c r="U9" s="62"/>
      <c r="V9" s="62"/>
      <c r="W9" s="62"/>
      <c r="X9" s="62"/>
      <c r="Y9" s="62"/>
      <c r="Z9" s="62"/>
      <c r="AA9" s="62"/>
      <c r="AB9" s="62"/>
      <c r="AC9" s="62"/>
      <c r="AD9" s="62"/>
      <c r="AE9" s="62"/>
      <c r="AF9" s="62"/>
      <c r="AG9" s="62"/>
      <c r="AH9" s="62"/>
      <c r="AI9" s="62"/>
      <c r="AJ9" s="62"/>
      <c r="AK9" s="62"/>
      <c r="AL9" s="62"/>
      <c r="AM9" s="62"/>
      <c r="AN9" s="62"/>
      <c r="AO9" s="62"/>
      <c r="AP9" s="62"/>
      <c r="AQ9" s="62"/>
      <c r="AR9" s="62"/>
      <c r="AS9" s="63"/>
    </row>
    <row r="10" spans="2:54">
      <c r="B10" s="64"/>
      <c r="C10" s="65"/>
      <c r="D10" s="65"/>
      <c r="E10" s="65"/>
      <c r="F10" s="65" t="s">
        <v>268</v>
      </c>
      <c r="G10" s="65"/>
      <c r="H10" s="65"/>
      <c r="I10" s="65"/>
      <c r="J10" s="65"/>
      <c r="K10" s="65"/>
      <c r="L10" s="65"/>
      <c r="M10" s="65" t="s">
        <v>269</v>
      </c>
      <c r="N10" s="65"/>
      <c r="O10" s="65"/>
      <c r="P10" s="65"/>
      <c r="Q10" s="65"/>
      <c r="R10" s="65"/>
      <c r="S10" s="65"/>
      <c r="T10" s="65" t="s">
        <v>270</v>
      </c>
      <c r="U10" s="65"/>
      <c r="V10" s="65"/>
      <c r="W10" s="65"/>
      <c r="X10" s="65"/>
      <c r="Y10" s="65"/>
      <c r="Z10" s="65"/>
      <c r="AA10" s="65" t="s">
        <v>271</v>
      </c>
      <c r="AB10" s="65"/>
      <c r="AC10" s="65"/>
      <c r="AD10" s="65"/>
      <c r="AE10" s="65"/>
      <c r="AF10" s="65"/>
      <c r="AG10" s="65"/>
      <c r="AH10" s="65" t="s">
        <v>272</v>
      </c>
      <c r="AI10" s="65"/>
      <c r="AJ10" s="65"/>
      <c r="AK10" s="65"/>
      <c r="AL10" s="65"/>
      <c r="AM10" s="65"/>
      <c r="AN10" s="65"/>
      <c r="AO10" s="65" t="s">
        <v>273</v>
      </c>
      <c r="AP10" s="65"/>
      <c r="AQ10" s="65"/>
      <c r="AR10" s="65"/>
      <c r="AS10" s="66"/>
    </row>
    <row r="11" spans="2:54">
      <c r="B11" s="61"/>
      <c r="C11" s="62"/>
      <c r="D11" s="62"/>
      <c r="E11" s="62"/>
      <c r="F11" s="67" t="str">
        <f>'Modified WS'!B11&amp;" ( +"&amp;'Modified WS'!B12&amp;")"</f>
        <v>10 ( +0)</v>
      </c>
      <c r="G11" s="62"/>
      <c r="H11" s="62"/>
      <c r="I11" s="62"/>
      <c r="J11" s="62"/>
      <c r="K11" s="62"/>
      <c r="L11" s="62"/>
      <c r="M11" s="67" t="str">
        <f>'Modified WS'!C11&amp;" ( +"&amp;'Modified WS'!C12&amp;")"</f>
        <v>14 ( +2)</v>
      </c>
      <c r="N11" s="62"/>
      <c r="O11" s="62"/>
      <c r="P11" s="62"/>
      <c r="Q11" s="62"/>
      <c r="R11" s="62"/>
      <c r="S11" s="62"/>
      <c r="T11" s="67" t="str">
        <f>'Modified WS'!D11&amp;" ( +"&amp;'Modified WS'!D12&amp;")"</f>
        <v>12 ( +1)</v>
      </c>
      <c r="U11" s="62"/>
      <c r="V11" s="62"/>
      <c r="W11" s="62"/>
      <c r="X11" s="62"/>
      <c r="Y11" s="62"/>
      <c r="Z11" s="62"/>
      <c r="AA11" s="67" t="str">
        <f>'Modified WS'!E11&amp;" ( +"&amp;'Modified WS'!E12&amp;")"</f>
        <v>18 ( +4)</v>
      </c>
      <c r="AB11" s="62"/>
      <c r="AC11" s="62"/>
      <c r="AD11" s="62"/>
      <c r="AE11" s="62"/>
      <c r="AF11" s="62"/>
      <c r="AG11" s="62"/>
      <c r="AH11" s="67" t="str">
        <f>'Modified WS'!F11&amp;" ( +"&amp;'Modified WS'!F12&amp;")"</f>
        <v>14 ( +2)</v>
      </c>
      <c r="AI11" s="62"/>
      <c r="AJ11" s="62"/>
      <c r="AK11" s="62"/>
      <c r="AL11" s="62"/>
      <c r="AM11" s="62"/>
      <c r="AN11" s="62"/>
      <c r="AO11" s="67" t="str">
        <f>'Modified WS'!G11&amp;" ( +"&amp;'Modified WS'!G12&amp;")"</f>
        <v>14 ( +2)</v>
      </c>
      <c r="AP11" s="62"/>
      <c r="AQ11" s="62"/>
      <c r="AR11" s="62"/>
      <c r="AS11" s="63"/>
    </row>
    <row r="12" spans="2:54" ht="15.6">
      <c r="B12" s="61"/>
      <c r="C12" s="62"/>
      <c r="D12" s="62"/>
      <c r="E12" s="62"/>
      <c r="F12" s="62"/>
      <c r="G12" s="62"/>
      <c r="H12" s="62"/>
      <c r="I12" s="62"/>
      <c r="J12" s="62"/>
      <c r="K12" s="62"/>
      <c r="L12" s="62"/>
      <c r="M12" s="62"/>
      <c r="N12" s="62"/>
      <c r="O12" s="62"/>
      <c r="P12" s="62"/>
      <c r="Q12" s="62"/>
      <c r="R12" s="62"/>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3"/>
      <c r="AU12" s="88" t="s">
        <v>547</v>
      </c>
      <c r="AV12" t="s">
        <v>548</v>
      </c>
    </row>
    <row r="13" spans="2:54">
      <c r="B13" s="68"/>
      <c r="C13" s="57" t="s">
        <v>610</v>
      </c>
      <c r="D13" s="57"/>
      <c r="E13" s="57"/>
      <c r="F13" s="57"/>
      <c r="G13" s="57"/>
      <c r="H13" s="175" t="str">
        <f>'Modified WS'!B93</f>
        <v>passive Perception 14, Investigation (+6), Acrobatics (+5), Arcana (+6), Intimidation (+4)</v>
      </c>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c r="AG13" s="175"/>
      <c r="AH13" s="175"/>
      <c r="AI13" s="175"/>
      <c r="AJ13" s="175"/>
      <c r="AK13" s="175"/>
      <c r="AL13" s="175"/>
      <c r="AM13" s="175"/>
      <c r="AN13" s="175"/>
      <c r="AO13" s="175"/>
      <c r="AP13" s="175"/>
      <c r="AQ13" s="175"/>
      <c r="AR13" s="175"/>
      <c r="AS13" s="69"/>
      <c r="AU13" t="str">
        <f>'Modified WS'!A41</f>
        <v>Standard Attack</v>
      </c>
      <c r="AV13" s="126" t="s">
        <v>547</v>
      </c>
      <c r="AW13" s="126" t="s">
        <v>362</v>
      </c>
      <c r="AX13" s="126" t="s">
        <v>449</v>
      </c>
      <c r="AY13" s="126" t="s">
        <v>363</v>
      </c>
      <c r="AZ13" s="126" t="s">
        <v>266</v>
      </c>
      <c r="BA13" s="151" t="s">
        <v>468</v>
      </c>
      <c r="BB13" s="126" t="s">
        <v>463</v>
      </c>
    </row>
    <row r="14" spans="2:54" ht="7.2" customHeight="1">
      <c r="B14" s="68"/>
      <c r="C14" s="143"/>
      <c r="D14" s="143"/>
      <c r="E14" s="143"/>
      <c r="F14" s="143"/>
      <c r="G14" s="143"/>
      <c r="H14" s="175"/>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c r="AG14" s="175"/>
      <c r="AH14" s="175"/>
      <c r="AI14" s="175"/>
      <c r="AJ14" s="175"/>
      <c r="AK14" s="175"/>
      <c r="AL14" s="175"/>
      <c r="AM14" s="175"/>
      <c r="AN14" s="175"/>
      <c r="AO14" s="175"/>
      <c r="AP14" s="175"/>
      <c r="AQ14" s="175"/>
      <c r="AR14" s="175"/>
      <c r="AS14" s="69"/>
      <c r="AV14" s="151"/>
      <c r="AW14" s="151"/>
      <c r="AX14" s="151"/>
      <c r="AY14" s="151"/>
      <c r="AZ14" s="151"/>
      <c r="BA14" s="105"/>
      <c r="BB14" s="151"/>
    </row>
    <row r="15" spans="2:54">
      <c r="B15" s="68"/>
      <c r="C15" s="57" t="s">
        <v>274</v>
      </c>
      <c r="D15" s="58"/>
      <c r="E15" s="58"/>
      <c r="F15" s="58"/>
      <c r="G15" s="58"/>
      <c r="H15" s="58"/>
      <c r="I15" s="58" t="str">
        <f>'Modified WS'!B106</f>
        <v>Darkvision 60 ft., Tremorsense 10 ft.</v>
      </c>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69"/>
      <c r="AU15" s="87"/>
      <c r="AV15" s="125">
        <f>'Modified WS'!C42</f>
        <v>2</v>
      </c>
      <c r="AW15" s="142" t="str">
        <f>'Modified WS'!E42</f>
        <v>Rapier</v>
      </c>
      <c r="AX15" s="125" t="str">
        <f>'Modified WS'!F42</f>
        <v>+6</v>
      </c>
      <c r="AY15" s="125" t="str">
        <f>'Modified WS'!G42</f>
        <v>(2d8 + 2)</v>
      </c>
      <c r="AZ15" s="125" t="str">
        <f>'Modified WS'!H42</f>
        <v>piercing</v>
      </c>
      <c r="BA15">
        <f>'Modified WS'!I42</f>
        <v>11</v>
      </c>
      <c r="BB15" s="125">
        <f>'Modified WS'!J42</f>
        <v>22</v>
      </c>
    </row>
    <row r="16" spans="2:54">
      <c r="B16" s="68"/>
      <c r="C16" s="57" t="s">
        <v>275</v>
      </c>
      <c r="D16" s="58"/>
      <c r="E16" s="58"/>
      <c r="F16" s="58"/>
      <c r="G16" s="58"/>
      <c r="H16" s="58"/>
      <c r="I16" s="58"/>
      <c r="J16" s="58"/>
      <c r="K16" s="58" t="str">
        <f>'Modified WS'!B116</f>
        <v>Common, Celestial, Dwarvish, Elvish</v>
      </c>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69"/>
    </row>
    <row r="17" spans="2:52">
      <c r="B17" s="68"/>
      <c r="C17" s="57" t="s">
        <v>276</v>
      </c>
      <c r="D17" s="58"/>
      <c r="E17" s="58"/>
      <c r="F17" s="58"/>
      <c r="G17" s="58"/>
      <c r="H17" s="58"/>
      <c r="I17" s="58"/>
      <c r="J17" s="174">
        <f>'Modified WS'!D1</f>
        <v>3</v>
      </c>
      <c r="K17" s="174"/>
      <c r="L17" s="58" t="str">
        <f>"("&amp;'Modified WS'!D8&amp;" XP)"</f>
        <v>(700 XP)</v>
      </c>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69"/>
      <c r="AU17" s="158" t="str">
        <f>'Modified WS'!A44</f>
        <v>Custom Attack</v>
      </c>
      <c r="AV17" s="126" t="s">
        <v>447</v>
      </c>
      <c r="AW17" s="126" t="s">
        <v>449</v>
      </c>
      <c r="AX17" s="126" t="s">
        <v>363</v>
      </c>
      <c r="AY17" s="126" t="s">
        <v>266</v>
      </c>
      <c r="AZ17" s="126" t="s">
        <v>569</v>
      </c>
    </row>
    <row r="18" spans="2:52">
      <c r="B18" s="70"/>
      <c r="C18" s="62"/>
      <c r="D18" s="62"/>
      <c r="E18" s="62"/>
      <c r="F18" s="62"/>
      <c r="G18" s="62"/>
      <c r="H18" s="62"/>
      <c r="I18" s="62"/>
      <c r="J18" s="6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71"/>
      <c r="AV18" s="15" t="str">
        <f>'Modified WS'!B65</f>
        <v>Slam</v>
      </c>
      <c r="AW18" s="17" t="str">
        <f>'Modified WS'!C65</f>
        <v>+4</v>
      </c>
      <c r="AX18" s="17" t="str">
        <f>'Modified WS'!D65</f>
        <v>15 (2d10 + 0)</v>
      </c>
      <c r="AY18" s="17" t="str">
        <f>'Modified WS'!E65</f>
        <v>Bludgeoning</v>
      </c>
      <c r="AZ18" s="17">
        <f>'Modified WS'!F65</f>
        <v>15</v>
      </c>
    </row>
    <row r="19" spans="2:52" ht="10.199999999999999" customHeight="1">
      <c r="B19" s="72"/>
      <c r="C19" s="172" t="str">
        <f>AU4</f>
        <v>Spellcasting</v>
      </c>
      <c r="D19" s="172"/>
      <c r="E19" s="172"/>
      <c r="F19" s="172"/>
      <c r="G19" s="172"/>
      <c r="H19" s="172"/>
      <c r="I19" s="172"/>
      <c r="J19" s="172"/>
      <c r="K19" s="172"/>
      <c r="L19" s="172"/>
      <c r="M19" s="172"/>
      <c r="N19" s="172"/>
      <c r="O19" s="172"/>
      <c r="P19" s="172"/>
      <c r="Q19" s="172"/>
      <c r="R19" s="172"/>
      <c r="S19" s="172"/>
      <c r="T19" s="172"/>
      <c r="U19" s="172"/>
      <c r="V19" s="172"/>
      <c r="W19" s="172"/>
      <c r="X19" s="172"/>
      <c r="Y19" s="172"/>
      <c r="Z19" s="172"/>
      <c r="AA19" s="172"/>
      <c r="AB19" s="172"/>
      <c r="AC19" s="172"/>
      <c r="AD19" s="172"/>
      <c r="AE19" s="172"/>
      <c r="AF19" s="172"/>
      <c r="AG19" s="172"/>
      <c r="AH19" s="172"/>
      <c r="AI19" s="172"/>
      <c r="AJ19" s="172"/>
      <c r="AK19" s="172"/>
      <c r="AL19" s="172"/>
      <c r="AM19" s="172"/>
      <c r="AN19" s="172"/>
      <c r="AO19" s="172"/>
      <c r="AP19" s="172"/>
      <c r="AQ19" s="172"/>
      <c r="AR19" s="172"/>
      <c r="AS19" s="73"/>
      <c r="AV19" s="15" t="str">
        <f>'Modified WS'!B66</f>
        <v>Swipe</v>
      </c>
      <c r="AW19" s="17" t="str">
        <f>'Modified WS'!C66</f>
        <v>+4</v>
      </c>
      <c r="AX19" s="17" t="str">
        <f>'Modified WS'!D66</f>
        <v>7 (1d12 + 0)</v>
      </c>
      <c r="AY19" s="17" t="str">
        <f>'Modified WS'!E66</f>
        <v>Slashing</v>
      </c>
      <c r="AZ19" s="17">
        <f>'Modified WS'!F66</f>
        <v>6.5</v>
      </c>
    </row>
    <row r="20" spans="2:52" ht="10.199999999999999" customHeight="1">
      <c r="B20" s="72"/>
      <c r="C20" s="175" t="str">
        <f>AU42</f>
        <v>The Wizard Assasssin is a level 3 spellcaster. Its spellcasting ability is Intelligence (spell save DC 13, +6 to hit with spell attacks). The Wizard Assasssin has the following wizard spells prepared:</v>
      </c>
      <c r="D20" s="175"/>
      <c r="E20" s="175"/>
      <c r="F20" s="175"/>
      <c r="G20" s="175"/>
      <c r="H20" s="175"/>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c r="AG20" s="175"/>
      <c r="AH20" s="175"/>
      <c r="AI20" s="175"/>
      <c r="AJ20" s="175"/>
      <c r="AK20" s="175"/>
      <c r="AL20" s="175"/>
      <c r="AM20" s="175"/>
      <c r="AN20" s="175"/>
      <c r="AO20" s="175"/>
      <c r="AP20" s="175"/>
      <c r="AQ20" s="175"/>
      <c r="AR20" s="175"/>
      <c r="AS20" s="73"/>
      <c r="AV20" s="15" t="str">
        <f>'Modified WS'!B67</f>
        <v>Swipe</v>
      </c>
      <c r="AW20" s="17" t="str">
        <f>'Modified WS'!C67</f>
        <v>+4</v>
      </c>
      <c r="AX20" s="17" t="str">
        <f>'Modified WS'!D67</f>
        <v>7 (1d12 + 0)</v>
      </c>
      <c r="AY20" s="17" t="str">
        <f>'Modified WS'!E67</f>
        <v>Slashing</v>
      </c>
      <c r="AZ20" s="17">
        <f>'Modified WS'!F67</f>
        <v>6.5</v>
      </c>
    </row>
    <row r="21" spans="2:52" ht="31.2" customHeight="1">
      <c r="B21" s="72"/>
      <c r="C21" s="175"/>
      <c r="D21" s="175"/>
      <c r="E21" s="175"/>
      <c r="F21" s="175"/>
      <c r="G21" s="175"/>
      <c r="H21" s="175"/>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c r="AG21" s="175"/>
      <c r="AH21" s="175"/>
      <c r="AI21" s="175"/>
      <c r="AJ21" s="175"/>
      <c r="AK21" s="175"/>
      <c r="AL21" s="175"/>
      <c r="AM21" s="175"/>
      <c r="AN21" s="175"/>
      <c r="AO21" s="175"/>
      <c r="AP21" s="175"/>
      <c r="AQ21" s="175"/>
      <c r="AR21" s="175"/>
      <c r="AS21" s="73"/>
      <c r="AV21" s="15" t="str">
        <f>'Modified WS'!B68</f>
        <v/>
      </c>
      <c r="AW21" s="17" t="str">
        <f>'Modified WS'!C68</f>
        <v/>
      </c>
      <c r="AX21" s="17" t="str">
        <f>'Modified WS'!D68</f>
        <v/>
      </c>
      <c r="AY21" s="17" t="str">
        <f>'Modified WS'!E68</f>
        <v/>
      </c>
      <c r="AZ21" s="17" t="str">
        <f>'Modified WS'!F68</f>
        <v/>
      </c>
    </row>
    <row r="22" spans="2:52" ht="10.199999999999999" customHeight="1">
      <c r="B22" s="72"/>
      <c r="C22" s="176" t="s">
        <v>669</v>
      </c>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176"/>
      <c r="AB22" s="176"/>
      <c r="AC22" s="176"/>
      <c r="AD22" s="176"/>
      <c r="AE22" s="176"/>
      <c r="AF22" s="176"/>
      <c r="AG22" s="176"/>
      <c r="AH22" s="176"/>
      <c r="AI22" s="176"/>
      <c r="AJ22" s="176"/>
      <c r="AK22" s="176"/>
      <c r="AL22" s="176"/>
      <c r="AM22" s="176"/>
      <c r="AN22" s="176"/>
      <c r="AO22" s="176"/>
      <c r="AP22" s="176"/>
      <c r="AQ22" s="176"/>
      <c r="AR22" s="176"/>
      <c r="AS22" s="73"/>
      <c r="AV22" s="15"/>
      <c r="AW22" s="17"/>
      <c r="AX22" s="17"/>
      <c r="AY22" s="17"/>
      <c r="AZ22" s="17"/>
    </row>
    <row r="23" spans="2:52" ht="22.2" customHeight="1">
      <c r="B23" s="72"/>
      <c r="C23" s="176" t="s">
        <v>670</v>
      </c>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76"/>
      <c r="AB23" s="176"/>
      <c r="AC23" s="176"/>
      <c r="AD23" s="176"/>
      <c r="AE23" s="176"/>
      <c r="AF23" s="176"/>
      <c r="AG23" s="176"/>
      <c r="AH23" s="176"/>
      <c r="AI23" s="176"/>
      <c r="AJ23" s="176"/>
      <c r="AK23" s="176"/>
      <c r="AL23" s="176"/>
      <c r="AM23" s="176"/>
      <c r="AN23" s="176"/>
      <c r="AO23" s="176"/>
      <c r="AP23" s="176"/>
      <c r="AQ23" s="176"/>
      <c r="AR23" s="176"/>
      <c r="AS23" s="73"/>
      <c r="AV23" s="15"/>
      <c r="AW23" s="17"/>
      <c r="AX23" s="17"/>
      <c r="AY23" s="17"/>
      <c r="AZ23" s="17"/>
    </row>
    <row r="24" spans="2:52" ht="10.199999999999999" customHeight="1">
      <c r="B24" s="72"/>
      <c r="C24" s="176" t="s">
        <v>671</v>
      </c>
      <c r="D24" s="176"/>
      <c r="E24" s="176"/>
      <c r="F24" s="176"/>
      <c r="G24" s="176"/>
      <c r="H24" s="176"/>
      <c r="I24" s="176"/>
      <c r="J24" s="176"/>
      <c r="K24" s="176"/>
      <c r="L24" s="176"/>
      <c r="M24" s="176"/>
      <c r="N24" s="176"/>
      <c r="O24" s="176"/>
      <c r="P24" s="176"/>
      <c r="Q24" s="176"/>
      <c r="R24" s="176"/>
      <c r="S24" s="176"/>
      <c r="T24" s="176"/>
      <c r="U24" s="176"/>
      <c r="V24" s="176"/>
      <c r="W24" s="176"/>
      <c r="X24" s="176"/>
      <c r="Y24" s="176"/>
      <c r="Z24" s="176"/>
      <c r="AA24" s="176"/>
      <c r="AB24" s="176"/>
      <c r="AC24" s="176"/>
      <c r="AD24" s="176"/>
      <c r="AE24" s="176"/>
      <c r="AF24" s="176"/>
      <c r="AG24" s="176"/>
      <c r="AH24" s="176"/>
      <c r="AI24" s="176"/>
      <c r="AJ24" s="176"/>
      <c r="AK24" s="176"/>
      <c r="AL24" s="176"/>
      <c r="AM24" s="176"/>
      <c r="AN24" s="176"/>
      <c r="AO24" s="176"/>
      <c r="AP24" s="176"/>
      <c r="AQ24" s="176"/>
      <c r="AR24" s="176"/>
      <c r="AS24" s="73"/>
      <c r="AV24" s="15"/>
      <c r="AW24" s="17"/>
      <c r="AX24" s="17"/>
      <c r="AY24" s="17"/>
      <c r="AZ24" s="17"/>
    </row>
    <row r="25" spans="2:52" ht="3.9" customHeight="1">
      <c r="B25" s="72"/>
      <c r="C25" s="86"/>
      <c r="D25" s="86"/>
      <c r="E25" s="86"/>
      <c r="F25" s="86"/>
      <c r="G25" s="86"/>
      <c r="H25" s="86"/>
      <c r="I25" s="86"/>
      <c r="J25" s="86"/>
      <c r="K25" s="86"/>
      <c r="L25" s="86"/>
      <c r="M25" s="86"/>
      <c r="N25" s="86"/>
      <c r="O25" s="86"/>
      <c r="P25" s="86"/>
      <c r="Q25" s="86"/>
      <c r="R25" s="86"/>
      <c r="S25" s="86"/>
      <c r="T25" s="86"/>
      <c r="U25" s="86"/>
      <c r="V25" s="86"/>
      <c r="W25" s="86"/>
      <c r="X25" s="86"/>
      <c r="Y25" s="86"/>
      <c r="Z25" s="86"/>
      <c r="AA25" s="86"/>
      <c r="AB25" s="86"/>
      <c r="AC25" s="86"/>
      <c r="AD25" s="86"/>
      <c r="AE25" s="86"/>
      <c r="AF25" s="86"/>
      <c r="AG25" s="86"/>
      <c r="AH25" s="86"/>
      <c r="AI25" s="86"/>
      <c r="AJ25" s="86"/>
      <c r="AK25" s="86"/>
      <c r="AL25" s="86"/>
      <c r="AM25" s="86"/>
      <c r="AN25" s="86"/>
      <c r="AO25" s="86"/>
      <c r="AP25" s="86"/>
      <c r="AQ25" s="86"/>
      <c r="AR25" s="86"/>
      <c r="AS25" s="73"/>
    </row>
    <row r="26" spans="2:52" ht="10.199999999999999" customHeight="1">
      <c r="B26" s="72"/>
      <c r="C26" s="172" t="str">
        <f>AU5</f>
        <v>Avoidance</v>
      </c>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2"/>
      <c r="AB26" s="172"/>
      <c r="AC26" s="172"/>
      <c r="AD26" s="172"/>
      <c r="AE26" s="172"/>
      <c r="AF26" s="172"/>
      <c r="AG26" s="172"/>
      <c r="AH26" s="172"/>
      <c r="AI26" s="172"/>
      <c r="AJ26" s="172"/>
      <c r="AK26" s="172"/>
      <c r="AL26" s="172"/>
      <c r="AM26" s="172"/>
      <c r="AN26" s="172"/>
      <c r="AO26" s="172"/>
      <c r="AP26" s="172"/>
      <c r="AQ26" s="172"/>
      <c r="AR26" s="172"/>
      <c r="AS26" s="73"/>
    </row>
    <row r="27" spans="2:52" ht="32.4" customHeight="1">
      <c r="B27" s="72"/>
      <c r="C27" s="175" t="str">
        <f>AV5</f>
        <v>If the monster is subjected to an effect that allows it to make a saving throw to take only half damage, it instead takes no damage if it succeeds on the saving throw, and only half damage if it fails.</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c r="AG27" s="175"/>
      <c r="AH27" s="175"/>
      <c r="AI27" s="175"/>
      <c r="AJ27" s="175"/>
      <c r="AK27" s="175"/>
      <c r="AL27" s="175"/>
      <c r="AM27" s="175"/>
      <c r="AN27" s="175"/>
      <c r="AO27" s="175"/>
      <c r="AP27" s="175"/>
      <c r="AQ27" s="175"/>
      <c r="AR27" s="175"/>
      <c r="AS27" s="73"/>
    </row>
    <row r="28" spans="2:52" ht="10.199999999999999" customHeight="1">
      <c r="B28" s="72"/>
      <c r="C28" s="177" t="str">
        <f>AU6</f>
        <v>Standing Leap</v>
      </c>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77"/>
      <c r="AB28" s="177"/>
      <c r="AC28" s="177"/>
      <c r="AD28" s="177"/>
      <c r="AE28" s="177"/>
      <c r="AF28" s="177"/>
      <c r="AG28" s="177"/>
      <c r="AH28" s="177"/>
      <c r="AI28" s="177"/>
      <c r="AJ28" s="177"/>
      <c r="AK28" s="177"/>
      <c r="AL28" s="177"/>
      <c r="AM28" s="177"/>
      <c r="AN28" s="177"/>
      <c r="AO28" s="177"/>
      <c r="AP28" s="177"/>
      <c r="AQ28" s="177"/>
      <c r="AR28" s="177"/>
      <c r="AS28" s="73"/>
    </row>
    <row r="29" spans="2:52" ht="23.4" customHeight="1">
      <c r="B29" s="72"/>
      <c r="C29" s="175" t="str">
        <f>AV6</f>
        <v>The monster''s long jump is up to 20 feet and its high jump is up to 10 feet, with or without a running start.</v>
      </c>
      <c r="D29" s="175"/>
      <c r="E29" s="175"/>
      <c r="F29" s="175"/>
      <c r="G29" s="175"/>
      <c r="H29" s="175"/>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c r="AG29" s="175"/>
      <c r="AH29" s="175"/>
      <c r="AI29" s="175"/>
      <c r="AJ29" s="175"/>
      <c r="AK29" s="175"/>
      <c r="AL29" s="175"/>
      <c r="AM29" s="175"/>
      <c r="AN29" s="175"/>
      <c r="AO29" s="175"/>
      <c r="AP29" s="175"/>
      <c r="AQ29" s="175"/>
      <c r="AR29" s="175"/>
      <c r="AS29" s="73"/>
    </row>
    <row r="30" spans="2:52" ht="3.9" customHeight="1">
      <c r="B30" s="72"/>
      <c r="C30" s="150"/>
      <c r="D30" s="150"/>
      <c r="E30" s="150"/>
      <c r="F30" s="150"/>
      <c r="G30" s="150"/>
      <c r="H30" s="150"/>
      <c r="I30" s="150"/>
      <c r="J30" s="150"/>
      <c r="K30" s="150"/>
      <c r="L30" s="150"/>
      <c r="M30" s="150"/>
      <c r="N30" s="150"/>
      <c r="O30" s="150"/>
      <c r="P30" s="150"/>
      <c r="Q30" s="150"/>
      <c r="R30" s="150"/>
      <c r="S30" s="150"/>
      <c r="T30" s="150"/>
      <c r="U30" s="150"/>
      <c r="V30" s="150"/>
      <c r="W30" s="150"/>
      <c r="X30" s="150"/>
      <c r="Y30" s="150"/>
      <c r="Z30" s="150"/>
      <c r="AA30" s="150"/>
      <c r="AB30" s="150"/>
      <c r="AC30" s="150"/>
      <c r="AD30" s="150"/>
      <c r="AE30" s="150"/>
      <c r="AF30" s="150"/>
      <c r="AG30" s="150"/>
      <c r="AH30" s="150"/>
      <c r="AI30" s="150"/>
      <c r="AJ30" s="150"/>
      <c r="AK30" s="150"/>
      <c r="AL30" s="150"/>
      <c r="AM30" s="150"/>
      <c r="AN30" s="150"/>
      <c r="AO30" s="150"/>
      <c r="AP30" s="150"/>
      <c r="AQ30" s="150"/>
      <c r="AR30" s="150"/>
      <c r="AS30" s="73"/>
    </row>
    <row r="31" spans="2:52" ht="15.6">
      <c r="B31" s="74"/>
      <c r="C31" s="75" t="s">
        <v>505</v>
      </c>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6"/>
    </row>
    <row r="32" spans="2:52" ht="3.9" customHeight="1">
      <c r="B32" s="61"/>
      <c r="C32" s="62"/>
      <c r="D32" s="62"/>
      <c r="E32" s="62"/>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3"/>
    </row>
    <row r="33" spans="2:51" ht="13.2" customHeight="1">
      <c r="B33" s="72"/>
      <c r="C33" s="171" t="str">
        <f>"Multi-Attack: "&amp;AV15&amp;" "&amp;AW15&amp;" attacks"</f>
        <v>Multi-Attack: 2 Rapier attacks</v>
      </c>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172"/>
      <c r="AK33" s="172"/>
      <c r="AL33" s="172"/>
      <c r="AM33" s="172"/>
      <c r="AN33" s="172"/>
      <c r="AO33" s="172"/>
      <c r="AP33" s="172"/>
      <c r="AQ33" s="172"/>
      <c r="AR33" s="172"/>
      <c r="AS33" s="73"/>
    </row>
    <row r="34" spans="2:51" ht="22.8" customHeight="1">
      <c r="B34" s="72"/>
      <c r="C34" s="173" t="str">
        <f>AW15&amp;". Melee Weapon Attack: "&amp;AX15&amp;" to hit, reach 5 ft., one target. Hit "&amp;BA15&amp;" "&amp;AY15&amp;" "&amp;AZ15&amp;" damage."</f>
        <v>Rapier. Melee Weapon Attack: +6 to hit, reach 5 ft., one target. Hit 11 (2d8 + 2) piercing damage.</v>
      </c>
      <c r="D34" s="173"/>
      <c r="E34" s="173"/>
      <c r="F34" s="173"/>
      <c r="G34" s="173"/>
      <c r="H34" s="173"/>
      <c r="I34" s="173"/>
      <c r="J34" s="173"/>
      <c r="K34" s="173"/>
      <c r="L34" s="173"/>
      <c r="M34" s="173"/>
      <c r="N34" s="173"/>
      <c r="O34" s="173"/>
      <c r="P34" s="173"/>
      <c r="Q34" s="173"/>
      <c r="R34" s="173"/>
      <c r="S34" s="173"/>
      <c r="T34" s="173"/>
      <c r="U34" s="173"/>
      <c r="V34" s="173"/>
      <c r="W34" s="173"/>
      <c r="X34" s="173"/>
      <c r="Y34" s="173"/>
      <c r="Z34" s="173"/>
      <c r="AA34" s="173"/>
      <c r="AB34" s="173"/>
      <c r="AC34" s="173"/>
      <c r="AD34" s="173"/>
      <c r="AE34" s="173"/>
      <c r="AF34" s="173"/>
      <c r="AG34" s="173"/>
      <c r="AH34" s="173"/>
      <c r="AI34" s="173"/>
      <c r="AJ34" s="173"/>
      <c r="AK34" s="173"/>
      <c r="AL34" s="173"/>
      <c r="AM34" s="173"/>
      <c r="AN34" s="173"/>
      <c r="AO34" s="173"/>
      <c r="AP34" s="173"/>
      <c r="AQ34" s="173"/>
      <c r="AR34" s="173"/>
      <c r="AS34" s="73"/>
    </row>
    <row r="35" spans="2:51" ht="3.9" customHeight="1">
      <c r="B35" s="89"/>
      <c r="C35" s="90"/>
      <c r="D35" s="90"/>
      <c r="E35" s="90"/>
      <c r="F35" s="90"/>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0"/>
      <c r="AQ35" s="90"/>
      <c r="AR35" s="90"/>
      <c r="AS35" s="91" t="s">
        <v>504</v>
      </c>
    </row>
    <row r="36" spans="2:51" ht="3.9" customHeight="1">
      <c r="B36" s="77"/>
      <c r="C36" s="78"/>
      <c r="D36" s="78"/>
      <c r="E36" s="78"/>
      <c r="F36" s="78"/>
      <c r="G36" s="78"/>
      <c r="H36" s="78"/>
      <c r="I36" s="78"/>
      <c r="J36" s="78"/>
      <c r="K36" s="78"/>
      <c r="L36" s="78"/>
      <c r="M36" s="78"/>
      <c r="N36" s="78"/>
      <c r="O36" s="78"/>
      <c r="P36" s="78"/>
      <c r="Q36" s="78"/>
      <c r="R36" s="78"/>
      <c r="S36" s="78"/>
      <c r="T36" s="78"/>
      <c r="U36" s="78"/>
      <c r="V36" s="78"/>
      <c r="W36" s="78"/>
      <c r="X36" s="78"/>
      <c r="Y36" s="78"/>
      <c r="Z36" s="78"/>
      <c r="AA36" s="78"/>
      <c r="AB36" s="78"/>
      <c r="AC36" s="78"/>
      <c r="AD36" s="78"/>
      <c r="AE36" s="78"/>
      <c r="AF36" s="78"/>
      <c r="AG36" s="78"/>
      <c r="AH36" s="78"/>
      <c r="AI36" s="78"/>
      <c r="AJ36" s="78"/>
      <c r="AK36" s="78"/>
      <c r="AL36" s="78"/>
      <c r="AM36" s="78"/>
      <c r="AN36" s="78"/>
      <c r="AO36" s="78"/>
      <c r="AP36" s="78"/>
      <c r="AQ36" s="78"/>
      <c r="AR36" s="78"/>
      <c r="AS36" s="79" t="s">
        <v>504</v>
      </c>
    </row>
    <row r="37" spans="2:51">
      <c r="AU37" t="s">
        <v>650</v>
      </c>
      <c r="AV37" t="s">
        <v>657</v>
      </c>
      <c r="AW37" t="s">
        <v>658</v>
      </c>
    </row>
    <row r="38" spans="2:51">
      <c r="AU38" t="s">
        <v>655</v>
      </c>
      <c r="AV38" s="1" t="s">
        <v>644</v>
      </c>
      <c r="AW38" t="s">
        <v>645</v>
      </c>
    </row>
    <row r="39" spans="2:51">
      <c r="AU39" t="s">
        <v>656</v>
      </c>
      <c r="AV39" t="s">
        <v>646</v>
      </c>
      <c r="AW39" t="s">
        <v>647</v>
      </c>
      <c r="AX39" t="s">
        <v>649</v>
      </c>
      <c r="AY39" t="s">
        <v>648</v>
      </c>
    </row>
    <row r="42" spans="2:51" ht="72">
      <c r="AU42" s="32" t="str">
        <f>"The "&amp;'Modified WS'!B3&amp;" is a level "&amp;AV43&amp;" spellcaster. Its spellcasting ability is "&amp;AV44&amp;" (spell save DC "&amp;AV45&amp;", "&amp;AV47&amp;" to hit with spell attacks). The "&amp;'Modified WS'!B3&amp;" has the following "&amp;AV46&amp;" spells prepared:"</f>
        <v>The Wizard Assasssin is a level 3 spellcaster. Its spellcasting ability is Intelligence (spell save DC 13, +6 to hit with spell attacks). The Wizard Assasssin has the following wizard spells prepared:</v>
      </c>
    </row>
    <row r="43" spans="2:51">
      <c r="AU43" t="s">
        <v>668</v>
      </c>
      <c r="AV43">
        <v>3</v>
      </c>
    </row>
    <row r="44" spans="2:51">
      <c r="AU44" t="s">
        <v>663</v>
      </c>
      <c r="AV44" t="str">
        <f>Skills!A5</f>
        <v>Intelligence</v>
      </c>
    </row>
    <row r="45" spans="2:51">
      <c r="AU45" t="s">
        <v>664</v>
      </c>
      <c r="AV45">
        <f>'Modified WS'!M39</f>
        <v>13</v>
      </c>
    </row>
    <row r="46" spans="2:51">
      <c r="AU46" t="s">
        <v>665</v>
      </c>
      <c r="AV46" t="s">
        <v>666</v>
      </c>
    </row>
    <row r="47" spans="2:51">
      <c r="AU47" t="s">
        <v>667</v>
      </c>
      <c r="AV47" t="str">
        <f>"+"&amp;VLOOKUP('Stat Block'!AV44,Skills!A:B,2,FALSE)</f>
        <v>+6</v>
      </c>
    </row>
  </sheetData>
  <mergeCells count="14">
    <mergeCell ref="C3:AR3"/>
    <mergeCell ref="C33:AR33"/>
    <mergeCell ref="C34:AR34"/>
    <mergeCell ref="J17:K17"/>
    <mergeCell ref="H13:AR14"/>
    <mergeCell ref="C23:AR23"/>
    <mergeCell ref="C24:AR24"/>
    <mergeCell ref="C22:AR22"/>
    <mergeCell ref="C27:AR27"/>
    <mergeCell ref="C28:AR28"/>
    <mergeCell ref="C29:AR29"/>
    <mergeCell ref="C19:AR19"/>
    <mergeCell ref="C20:AR21"/>
    <mergeCell ref="C26:AR26"/>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C15"/>
  <sheetViews>
    <sheetView workbookViewId="0">
      <selection activeCell="D2" sqref="D2"/>
    </sheetView>
  </sheetViews>
  <sheetFormatPr defaultRowHeight="14.4"/>
  <cols>
    <col min="1" max="1" width="13.5546875" bestFit="1" customWidth="1"/>
    <col min="3" max="3" width="10.44140625" bestFit="1" customWidth="1"/>
  </cols>
  <sheetData>
    <row r="1" spans="1:3">
      <c r="A1" s="2" t="s">
        <v>519</v>
      </c>
      <c r="C1" s="2" t="s">
        <v>520</v>
      </c>
    </row>
    <row r="2" spans="1:3">
      <c r="A2" t="s">
        <v>513</v>
      </c>
      <c r="C2" t="s">
        <v>521</v>
      </c>
    </row>
    <row r="3" spans="1:3">
      <c r="A3" t="s">
        <v>507</v>
      </c>
      <c r="C3" t="s">
        <v>522</v>
      </c>
    </row>
    <row r="4" spans="1:3">
      <c r="A4" t="s">
        <v>518</v>
      </c>
      <c r="C4" t="s">
        <v>523</v>
      </c>
    </row>
    <row r="5" spans="1:3">
      <c r="A5" t="s">
        <v>510</v>
      </c>
      <c r="C5" t="s">
        <v>528</v>
      </c>
    </row>
    <row r="6" spans="1:3">
      <c r="A6" t="s">
        <v>515</v>
      </c>
      <c r="C6" t="s">
        <v>524</v>
      </c>
    </row>
    <row r="7" spans="1:3">
      <c r="A7" t="s">
        <v>514</v>
      </c>
      <c r="C7" t="s">
        <v>525</v>
      </c>
    </row>
    <row r="8" spans="1:3">
      <c r="A8" t="s">
        <v>512</v>
      </c>
      <c r="C8" t="s">
        <v>526</v>
      </c>
    </row>
    <row r="9" spans="1:3">
      <c r="A9" t="s">
        <v>511</v>
      </c>
      <c r="C9" t="s">
        <v>527</v>
      </c>
    </row>
    <row r="10" spans="1:3">
      <c r="A10" t="s">
        <v>517</v>
      </c>
      <c r="C10" t="s">
        <v>361</v>
      </c>
    </row>
    <row r="11" spans="1:3">
      <c r="A11" t="s">
        <v>360</v>
      </c>
    </row>
    <row r="12" spans="1:3">
      <c r="A12" t="s">
        <v>506</v>
      </c>
    </row>
    <row r="13" spans="1:3">
      <c r="A13" t="s">
        <v>516</v>
      </c>
    </row>
    <row r="14" spans="1:3">
      <c r="A14" t="s">
        <v>508</v>
      </c>
    </row>
    <row r="15" spans="1:3">
      <c r="A15" t="s">
        <v>509</v>
      </c>
    </row>
  </sheetData>
  <autoFilter ref="A1:A15" xr:uid="{00000000-0009-0000-0000-000001000000}">
    <sortState ref="A2:A15">
      <sortCondition ref="A1:A15"/>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116"/>
  <sheetViews>
    <sheetView tabSelected="1" zoomScaleNormal="100" workbookViewId="0">
      <pane ySplit="1" topLeftCell="A67" activePane="bottomLeft" state="frozen"/>
      <selection pane="bottomLeft" activeCell="H83" sqref="H83"/>
    </sheetView>
  </sheetViews>
  <sheetFormatPr defaultRowHeight="14.4"/>
  <cols>
    <col min="1" max="1" width="14.33203125" style="94" bestFit="1" customWidth="1"/>
    <col min="2" max="2" width="19" customWidth="1"/>
    <col min="3" max="3" width="10.88671875" bestFit="1" customWidth="1"/>
    <col min="4" max="4" width="12.5546875" bestFit="1" customWidth="1"/>
    <col min="5" max="5" width="10.77734375" bestFit="1" customWidth="1"/>
    <col min="6" max="6" width="14" customWidth="1"/>
    <col min="7" max="7" width="14.33203125" customWidth="1"/>
    <col min="8" max="8" width="14" bestFit="1" customWidth="1"/>
    <col min="9" max="9" width="13.88671875" customWidth="1"/>
    <col min="10" max="10" width="15.21875" customWidth="1"/>
    <col min="11" max="11" width="14.21875" bestFit="1" customWidth="1"/>
    <col min="12" max="12" width="10.33203125" customWidth="1"/>
    <col min="19" max="19" width="12" bestFit="1" customWidth="1"/>
  </cols>
  <sheetData>
    <row r="1" spans="1:16" ht="15.6" thickTop="1" thickBot="1">
      <c r="A1" s="140" t="s">
        <v>596</v>
      </c>
      <c r="B1" s="141">
        <f>AVERAGE(I39,F80)</f>
        <v>3</v>
      </c>
      <c r="C1" s="140" t="s">
        <v>605</v>
      </c>
      <c r="D1" s="145">
        <f>ROUND(AVERAGE(I39,F80),0)</f>
        <v>3</v>
      </c>
      <c r="E1" s="140" t="s">
        <v>606</v>
      </c>
      <c r="F1" s="146">
        <f>VLOOKUP(D1,'Stats by CR'!A:B,2,FALSE)</f>
        <v>2</v>
      </c>
    </row>
    <row r="2" spans="1:16" s="9" customFormat="1" ht="15.6" thickTop="1" thickBot="1">
      <c r="A2" s="180" t="s">
        <v>552</v>
      </c>
      <c r="B2" s="180"/>
      <c r="C2" s="180"/>
      <c r="D2" s="180"/>
      <c r="E2" s="180"/>
      <c r="I2" s="9" t="s">
        <v>561</v>
      </c>
    </row>
    <row r="3" spans="1:16" ht="15" thickBot="1">
      <c r="A3" s="94" t="s">
        <v>549</v>
      </c>
      <c r="B3" s="188" t="s">
        <v>651</v>
      </c>
      <c r="C3" s="189"/>
      <c r="I3" t="s">
        <v>991</v>
      </c>
    </row>
    <row r="4" spans="1:16">
      <c r="B4" s="152" t="s">
        <v>266</v>
      </c>
      <c r="C4" s="153" t="s">
        <v>360</v>
      </c>
      <c r="I4" t="s">
        <v>992</v>
      </c>
    </row>
    <row r="5" spans="1:16">
      <c r="B5" s="152" t="s">
        <v>267</v>
      </c>
      <c r="C5" s="153" t="s">
        <v>528</v>
      </c>
    </row>
    <row r="6" spans="1:16">
      <c r="I6" t="s">
        <v>573</v>
      </c>
    </row>
    <row r="7" spans="1:16" ht="15" thickBot="1">
      <c r="A7" s="94" t="s">
        <v>550</v>
      </c>
      <c r="B7" s="83" t="s">
        <v>259</v>
      </c>
      <c r="C7" s="83" t="s">
        <v>265</v>
      </c>
      <c r="D7" s="83" t="s">
        <v>243</v>
      </c>
    </row>
    <row r="8" spans="1:16" ht="15" thickBot="1">
      <c r="B8" s="95">
        <v>3</v>
      </c>
      <c r="C8" s="96" t="s">
        <v>250</v>
      </c>
      <c r="D8" s="82">
        <f>VLOOKUP(B8, 'XP by CR'!A:B, 2, FALSE)</f>
        <v>700</v>
      </c>
      <c r="P8">
        <v>31</v>
      </c>
    </row>
    <row r="9" spans="1:16">
      <c r="B9" s="10"/>
      <c r="C9" s="82"/>
      <c r="D9" s="97"/>
      <c r="P9">
        <v>0</v>
      </c>
    </row>
    <row r="10" spans="1:16" ht="15" thickBot="1">
      <c r="A10" s="94" t="s">
        <v>551</v>
      </c>
      <c r="B10" s="83" t="s">
        <v>268</v>
      </c>
      <c r="C10" s="83" t="s">
        <v>269</v>
      </c>
      <c r="D10" s="83" t="s">
        <v>270</v>
      </c>
      <c r="E10" s="83" t="s">
        <v>271</v>
      </c>
      <c r="F10" s="83" t="s">
        <v>272</v>
      </c>
      <c r="G10" s="83" t="s">
        <v>273</v>
      </c>
      <c r="P10">
        <v>0</v>
      </c>
    </row>
    <row r="11" spans="1:16" ht="15" thickBot="1">
      <c r="A11" s="102" t="s">
        <v>355</v>
      </c>
      <c r="B11" s="98">
        <v>10</v>
      </c>
      <c r="C11" s="99">
        <v>14</v>
      </c>
      <c r="D11" s="100">
        <v>12</v>
      </c>
      <c r="E11" s="99">
        <v>18</v>
      </c>
      <c r="F11" s="99">
        <v>14</v>
      </c>
      <c r="G11" s="101">
        <v>14</v>
      </c>
      <c r="P11">
        <v>1</v>
      </c>
    </row>
    <row r="12" spans="1:16">
      <c r="A12" s="102" t="s">
        <v>481</v>
      </c>
      <c r="B12" s="16">
        <f>VLOOKUP(B11, 'Ability Mod by Score'!$A:$B,2, FALSE)</f>
        <v>0</v>
      </c>
      <c r="C12" s="16">
        <f>VLOOKUP(C11, 'Ability Mod by Score'!$A:$B,2, FALSE)</f>
        <v>2</v>
      </c>
      <c r="D12" s="16">
        <f>VLOOKUP(D11, 'Ability Mod by Score'!$A:$B,2, FALSE)</f>
        <v>1</v>
      </c>
      <c r="E12" s="16">
        <f>VLOOKUP(E11, 'Ability Mod by Score'!$A:$B,2, FALSE)</f>
        <v>4</v>
      </c>
      <c r="F12" s="16">
        <f>VLOOKUP(F11, 'Ability Mod by Score'!$A:$B,2, FALSE)</f>
        <v>2</v>
      </c>
      <c r="G12" s="16">
        <f>VLOOKUP(G11, 'Ability Mod by Score'!$A:$B,2, FALSE)</f>
        <v>2</v>
      </c>
    </row>
    <row r="14" spans="1:16" ht="15" thickBot="1">
      <c r="A14" s="94" t="s">
        <v>553</v>
      </c>
      <c r="B14" s="184" t="s">
        <v>554</v>
      </c>
      <c r="C14" s="184"/>
      <c r="D14" s="184" t="s">
        <v>277</v>
      </c>
      <c r="E14" s="184"/>
      <c r="F14" s="184"/>
      <c r="G14" s="184"/>
      <c r="H14" s="184"/>
      <c r="I14" s="184"/>
      <c r="J14" s="184"/>
      <c r="K14" s="184" t="s">
        <v>81</v>
      </c>
      <c r="L14" s="184"/>
      <c r="M14" s="184"/>
      <c r="N14" s="184"/>
      <c r="O14" s="184"/>
    </row>
    <row r="15" spans="1:16" ht="14.4" customHeight="1" thickBot="1">
      <c r="B15" s="182" t="s">
        <v>149</v>
      </c>
      <c r="C15" s="183"/>
      <c r="D15" s="178" t="str">
        <f>IF(B15 = "", "",VLOOKUP(B15, Features!A:D, 4, FALSE))</f>
        <v>Varies</v>
      </c>
      <c r="E15" s="179"/>
      <c r="F15" s="179"/>
      <c r="G15" s="179"/>
      <c r="H15" s="179"/>
      <c r="I15" s="179"/>
      <c r="J15" s="179"/>
      <c r="K15" s="179" t="str">
        <f>IF(OR(D15="",VLOOKUP(B15,Features!A:D,3,FALSE)=""),"",VLOOKUP(B15, Features!A:D, 3, FALSE))</f>
        <v>It''s complicated</v>
      </c>
      <c r="L15" s="179"/>
      <c r="M15" s="179"/>
      <c r="N15" s="179"/>
      <c r="O15" s="179"/>
    </row>
    <row r="16" spans="1:16">
      <c r="D16" s="179"/>
      <c r="E16" s="179"/>
      <c r="F16" s="179"/>
      <c r="G16" s="179"/>
      <c r="H16" s="179"/>
      <c r="I16" s="179"/>
      <c r="J16" s="179"/>
      <c r="K16" s="179"/>
      <c r="L16" s="179"/>
      <c r="M16" s="179"/>
      <c r="N16" s="179"/>
      <c r="O16" s="179"/>
    </row>
    <row r="17" spans="1:15" ht="15" thickBot="1">
      <c r="D17" s="179"/>
      <c r="E17" s="179"/>
      <c r="F17" s="179"/>
      <c r="G17" s="179"/>
      <c r="H17" s="179"/>
      <c r="I17" s="179"/>
      <c r="J17" s="179"/>
      <c r="K17" s="179"/>
      <c r="L17" s="179"/>
      <c r="M17" s="179"/>
      <c r="N17" s="179"/>
      <c r="O17" s="179"/>
    </row>
    <row r="18" spans="1:15" ht="15" customHeight="1" thickBot="1">
      <c r="B18" s="182" t="s">
        <v>85</v>
      </c>
      <c r="C18" s="183"/>
      <c r="D18" s="178" t="str">
        <f>IF(B18 = "", "",VLOOKUP(B18, Features!A:D, 4, FALSE))</f>
        <v>If the monster is subjected to an effect that allows it to make a saving throw to take only half damage, it instead takes no damage if it succeeds on the saving throw, and only half damage if it fails.</v>
      </c>
      <c r="E18" s="179"/>
      <c r="F18" s="179"/>
      <c r="G18" s="179"/>
      <c r="H18" s="179"/>
      <c r="I18" s="179"/>
      <c r="J18" s="179"/>
      <c r="K18" s="179" t="str">
        <f>IF(OR(D18="",VLOOKUP(B18,Features!A:D,3,FALSE)=""),"",VLOOKUP(B18, Features!A:D, 3, FALSE))</f>
        <v>Increase the monster''s effective AC by 1</v>
      </c>
      <c r="L18" s="179"/>
      <c r="M18" s="179"/>
      <c r="N18" s="179"/>
      <c r="O18" s="179"/>
    </row>
    <row r="19" spans="1:15" ht="15" customHeight="1">
      <c r="D19" s="179"/>
      <c r="E19" s="179"/>
      <c r="F19" s="179"/>
      <c r="G19" s="179"/>
      <c r="H19" s="179"/>
      <c r="I19" s="179"/>
      <c r="J19" s="179"/>
      <c r="K19" s="179"/>
      <c r="L19" s="179"/>
      <c r="M19" s="179"/>
      <c r="N19" s="179"/>
      <c r="O19" s="179"/>
    </row>
    <row r="20" spans="1:15" ht="15" customHeight="1" thickBot="1">
      <c r="D20" s="179"/>
      <c r="E20" s="179"/>
      <c r="F20" s="179"/>
      <c r="G20" s="179"/>
      <c r="H20" s="179"/>
      <c r="I20" s="179"/>
      <c r="J20" s="179"/>
      <c r="K20" s="179"/>
      <c r="L20" s="179"/>
      <c r="M20" s="179"/>
      <c r="N20" s="179"/>
      <c r="O20" s="179"/>
    </row>
    <row r="21" spans="1:15" ht="15" customHeight="1" thickBot="1">
      <c r="B21" s="182" t="s">
        <v>151</v>
      </c>
      <c r="C21" s="183"/>
      <c r="D21" s="178" t="str">
        <f>IF(B21 = "", "",VLOOKUP(B21, Features!A:D, 4, FALSE))</f>
        <v>The monster''s long jump is up to 20 feet and its high jump is up to 10 feet, with or without a running start.</v>
      </c>
      <c r="E21" s="179"/>
      <c r="F21" s="179"/>
      <c r="G21" s="179"/>
      <c r="H21" s="179"/>
      <c r="I21" s="179"/>
      <c r="J21" s="179"/>
      <c r="K21" s="179" t="str">
        <f>IF(OR(D21="",VLOOKUP(B21,Features!A:D,3,FALSE)=""),"",VLOOKUP(B21, Features!A:D, 3, FALSE))</f>
        <v/>
      </c>
      <c r="L21" s="179"/>
      <c r="M21" s="179"/>
      <c r="N21" s="179"/>
      <c r="O21" s="179"/>
    </row>
    <row r="22" spans="1:15">
      <c r="D22" s="179"/>
      <c r="E22" s="179"/>
      <c r="F22" s="179"/>
      <c r="G22" s="179"/>
      <c r="H22" s="179"/>
      <c r="I22" s="179"/>
      <c r="J22" s="179"/>
      <c r="K22" s="179"/>
      <c r="L22" s="179"/>
      <c r="M22" s="179"/>
      <c r="N22" s="179"/>
      <c r="O22" s="179"/>
    </row>
    <row r="23" spans="1:15" ht="15" thickBot="1">
      <c r="D23" s="179"/>
      <c r="E23" s="179"/>
      <c r="F23" s="179"/>
      <c r="G23" s="179"/>
      <c r="H23" s="179"/>
      <c r="I23" s="179"/>
      <c r="J23" s="179"/>
      <c r="K23" s="179"/>
      <c r="L23" s="179"/>
      <c r="M23" s="179"/>
      <c r="N23" s="179"/>
      <c r="O23" s="179"/>
    </row>
    <row r="24" spans="1:15" ht="15" customHeight="1" thickBot="1">
      <c r="B24" s="182"/>
      <c r="C24" s="183"/>
      <c r="D24" s="178" t="str">
        <f>IF(B24 = "", "",VLOOKUP(B24, Features!A:D, 4, FALSE))</f>
        <v/>
      </c>
      <c r="E24" s="179"/>
      <c r="F24" s="179"/>
      <c r="G24" s="179"/>
      <c r="H24" s="179"/>
      <c r="I24" s="179"/>
      <c r="J24" s="179"/>
      <c r="K24" s="179" t="e">
        <f>IF(OR(D24="",VLOOKUP(B24,Features!A:D,3,FALSE)=""),"",VLOOKUP(B24, Features!A:D, 3, FALSE))</f>
        <v>#N/A</v>
      </c>
      <c r="L24" s="179"/>
      <c r="M24" s="179"/>
      <c r="N24" s="179"/>
      <c r="O24" s="179"/>
    </row>
    <row r="25" spans="1:15">
      <c r="D25" s="179"/>
      <c r="E25" s="179"/>
      <c r="F25" s="179"/>
      <c r="G25" s="179"/>
      <c r="H25" s="179"/>
      <c r="I25" s="179"/>
      <c r="J25" s="179"/>
      <c r="K25" s="179"/>
      <c r="L25" s="179"/>
      <c r="M25" s="179"/>
      <c r="N25" s="179"/>
      <c r="O25" s="179"/>
    </row>
    <row r="26" spans="1:15" ht="15" thickBot="1">
      <c r="D26" s="179"/>
      <c r="E26" s="179"/>
      <c r="F26" s="179"/>
      <c r="G26" s="179"/>
      <c r="H26" s="179"/>
      <c r="I26" s="179"/>
      <c r="J26" s="179"/>
      <c r="K26" s="179"/>
      <c r="L26" s="179"/>
      <c r="M26" s="179"/>
      <c r="N26" s="179"/>
      <c r="O26" s="179"/>
    </row>
    <row r="27" spans="1:15" ht="15" thickBot="1">
      <c r="B27" s="182"/>
      <c r="C27" s="183"/>
      <c r="D27" s="178" t="str">
        <f>IF(B27 = "", "",VLOOKUP(B27, Features!A:D, 4, FALSE))</f>
        <v/>
      </c>
      <c r="E27" s="179"/>
      <c r="F27" s="179"/>
      <c r="G27" s="179"/>
      <c r="H27" s="179"/>
      <c r="I27" s="179"/>
      <c r="J27" s="179"/>
      <c r="K27" s="179" t="e">
        <f>IF(OR(D27="",VLOOKUP(B27,Features!A:D,3,FALSE)=""),"",VLOOKUP(B27, Features!A:D, 3, FALSE))</f>
        <v>#N/A</v>
      </c>
      <c r="L27" s="179"/>
      <c r="M27" s="179"/>
      <c r="N27" s="179"/>
      <c r="O27" s="179"/>
    </row>
    <row r="28" spans="1:15">
      <c r="D28" s="179"/>
      <c r="E28" s="179"/>
      <c r="F28" s="179"/>
      <c r="G28" s="179"/>
      <c r="H28" s="179"/>
      <c r="I28" s="179"/>
      <c r="J28" s="179"/>
      <c r="K28" s="179"/>
      <c r="L28" s="179"/>
      <c r="M28" s="179"/>
      <c r="N28" s="179"/>
      <c r="O28" s="179"/>
    </row>
    <row r="29" spans="1:15">
      <c r="D29" s="179"/>
      <c r="E29" s="179"/>
      <c r="F29" s="179"/>
      <c r="G29" s="179"/>
      <c r="H29" s="179"/>
      <c r="I29" s="179"/>
      <c r="J29" s="179"/>
      <c r="K29" s="179"/>
      <c r="L29" s="179"/>
      <c r="M29" s="179"/>
      <c r="N29" s="179"/>
      <c r="O29" s="179"/>
    </row>
    <row r="30" spans="1:15" ht="15" thickBot="1"/>
    <row r="31" spans="1:15" ht="14.4" customHeight="1" thickBot="1">
      <c r="A31" s="181" t="s">
        <v>555</v>
      </c>
      <c r="B31" s="180" t="s">
        <v>262</v>
      </c>
      <c r="C31" s="180"/>
      <c r="D31" s="180"/>
      <c r="E31" s="180"/>
      <c r="F31" s="180"/>
      <c r="G31" s="180"/>
      <c r="I31" s="2" t="s">
        <v>556</v>
      </c>
      <c r="J31" s="106">
        <v>3</v>
      </c>
      <c r="K31" s="2" t="s">
        <v>480</v>
      </c>
      <c r="L31" s="8" t="str">
        <f>IF(AND('Weapons and Damage'!J18,'Weapons and Damage'!J19),"Dexterity",IF('Weapons and Damage'!J18,IF(B12&gt;=C12,"Strength","Dexterity"),"Strength"))</f>
        <v>Dexterity</v>
      </c>
    </row>
    <row r="32" spans="1:15" ht="14.4" customHeight="1" thickTop="1" thickBot="1">
      <c r="A32" s="181"/>
      <c r="B32" s="83" t="s">
        <v>264</v>
      </c>
      <c r="C32" s="186" t="s">
        <v>7</v>
      </c>
      <c r="D32" s="186"/>
      <c r="E32" s="186" t="s">
        <v>8</v>
      </c>
      <c r="F32" s="186"/>
      <c r="G32" s="83" t="s">
        <v>9</v>
      </c>
      <c r="I32" s="2" t="s">
        <v>362</v>
      </c>
      <c r="J32" s="40" t="s">
        <v>403</v>
      </c>
      <c r="K32" s="2" t="s">
        <v>567</v>
      </c>
      <c r="L32" s="128"/>
      <c r="M32" t="s">
        <v>568</v>
      </c>
    </row>
    <row r="33" spans="1:19" s="8" customFormat="1">
      <c r="A33" s="103"/>
      <c r="B33" s="10">
        <f>$B$8-3</f>
        <v>0</v>
      </c>
      <c r="C33" s="187" t="str">
        <f>VLOOKUP($B$8 - 3,'Stats by CR'!$A:$G, 5, FALSE)</f>
        <v>&lt;= 3</v>
      </c>
      <c r="D33" s="187"/>
      <c r="E33" s="187" t="str">
        <f>VLOOKUP($B$8 - 3,'Stats by CR'!$A:$G, 6, FALSE)</f>
        <v>0-1</v>
      </c>
      <c r="F33" s="187"/>
      <c r="G33" s="82" t="str">
        <f>VLOOKUP($B$8 - 3,'Stats by CR'!$A:$G, 7, FALSE)</f>
        <v>&lt;= 13</v>
      </c>
      <c r="I33" s="105"/>
      <c r="J33" s="7" t="s">
        <v>7</v>
      </c>
      <c r="K33" s="186" t="s">
        <v>8</v>
      </c>
      <c r="L33" s="186"/>
      <c r="M33" s="184" t="s">
        <v>9</v>
      </c>
      <c r="N33" s="184"/>
    </row>
    <row r="34" spans="1:19">
      <c r="B34" s="10">
        <f>$B$8-2</f>
        <v>1</v>
      </c>
      <c r="C34" s="187">
        <f>VLOOKUP($B$8 - 2,'Stats by CR'!$A:$G, 5, FALSE)</f>
        <v>3</v>
      </c>
      <c r="D34" s="187"/>
      <c r="E34" s="187" t="str">
        <f>VLOOKUP($B$8 - 2,'Stats by CR'!$A:$G, 6, FALSE)</f>
        <v>9-14</v>
      </c>
      <c r="F34" s="187"/>
      <c r="G34" s="82">
        <f>VLOOKUP($B$8 - 2,'Stats by CR'!$A:$G, 7, FALSE)</f>
        <v>13</v>
      </c>
      <c r="I34" s="104" t="s">
        <v>558</v>
      </c>
      <c r="J34" s="82">
        <f>VLOOKUP(J31,'Stats by CR'!$A:$G, 5, FALSE)</f>
        <v>4</v>
      </c>
      <c r="K34" s="187" t="str">
        <f>VLOOKUP(J31,'Stats by CR'!$A:$G, 6, FALSE)</f>
        <v>21-26</v>
      </c>
      <c r="L34" s="187"/>
      <c r="M34" s="187">
        <f>VLOOKUP(J31,'Stats by CR'!$A:$G, 7, FALSE)</f>
        <v>13</v>
      </c>
      <c r="N34" s="187"/>
    </row>
    <row r="35" spans="1:19">
      <c r="B35" s="10">
        <f>$B$8-1</f>
        <v>2</v>
      </c>
      <c r="C35" s="190">
        <f>VLOOKUP($B$8 - 1,'Stats by CR'!$A:$G, 5, FALSE)</f>
        <v>3</v>
      </c>
      <c r="D35" s="190"/>
      <c r="E35" s="190" t="str">
        <f>VLOOKUP($B$8 - 1,'Stats by CR'!$A:$G, 6, FALSE)</f>
        <v>15-20</v>
      </c>
      <c r="F35" s="190"/>
      <c r="G35" s="11">
        <f>VLOOKUP($B$8 - 1,'Stats by CR'!$A:$G, 7, FALSE)</f>
        <v>13</v>
      </c>
      <c r="I35" s="17" t="s">
        <v>559</v>
      </c>
      <c r="J35" s="82">
        <v>0</v>
      </c>
      <c r="K35" s="187"/>
      <c r="L35" s="187"/>
      <c r="M35" s="187"/>
      <c r="N35" s="187"/>
    </row>
    <row r="36" spans="1:19">
      <c r="B36" s="10">
        <f>$B$8</f>
        <v>3</v>
      </c>
      <c r="C36" s="190">
        <f>VLOOKUP($B$8,'Stats by CR'!$A:$G, 5, FALSE)</f>
        <v>4</v>
      </c>
      <c r="D36" s="190"/>
      <c r="E36" s="190" t="str">
        <f>VLOOKUP($B$8,'Stats by CR'!$A:$G, 6, FALSE)</f>
        <v>21-26</v>
      </c>
      <c r="F36" s="190"/>
      <c r="G36" s="11">
        <f>VLOOKUP($B$8,'Stats by CR'!$A:$G, 7, FALSE)</f>
        <v>13</v>
      </c>
      <c r="I36" s="17" t="s">
        <v>560</v>
      </c>
      <c r="J36" s="82"/>
      <c r="K36" s="187"/>
      <c r="L36" s="187"/>
      <c r="M36" s="187"/>
      <c r="N36" s="187"/>
      <c r="O36" t="s">
        <v>562</v>
      </c>
    </row>
    <row r="37" spans="1:19">
      <c r="B37" s="10">
        <f>$B$8+1</f>
        <v>4</v>
      </c>
      <c r="C37" s="190">
        <f>VLOOKUP($B$8+1,'Stats by CR'!$A:$G, 5, FALSE)</f>
        <v>5</v>
      </c>
      <c r="D37" s="190"/>
      <c r="E37" s="190" t="str">
        <f>VLOOKUP($B$8+1,'Stats by CR'!$A:$G, 6, FALSE)</f>
        <v>27-32</v>
      </c>
      <c r="F37" s="190"/>
      <c r="G37" s="11">
        <f>VLOOKUP($B$8+1,'Stats by CR'!$A:$G, 7, FALSE)</f>
        <v>14</v>
      </c>
    </row>
    <row r="38" spans="1:19" ht="15" thickBot="1">
      <c r="B38" s="10">
        <f>$B$8+2</f>
        <v>5</v>
      </c>
      <c r="C38" s="190">
        <f>VLOOKUP($B$8+2,'Stats by CR'!$A:$G, 5, FALSE)</f>
        <v>6</v>
      </c>
      <c r="D38" s="190"/>
      <c r="E38" s="190" t="str">
        <f>VLOOKUP($B$8+2,'Stats by CR'!$A:$G, 6, FALSE)</f>
        <v>33-38</v>
      </c>
      <c r="F38" s="190"/>
      <c r="G38" s="11">
        <f>VLOOKUP($B$8+2,'Stats by CR'!$A:$G, 7, FALSE)</f>
        <v>15</v>
      </c>
      <c r="I38" s="93" t="s">
        <v>557</v>
      </c>
      <c r="J38" s="93" t="s">
        <v>346</v>
      </c>
      <c r="K38" s="184" t="s">
        <v>347</v>
      </c>
      <c r="L38" s="184"/>
      <c r="M38" s="184" t="s">
        <v>348</v>
      </c>
      <c r="N38" s="184"/>
    </row>
    <row r="39" spans="1:19" ht="15" thickBot="1">
      <c r="B39" s="10">
        <f>$B$8+3</f>
        <v>6</v>
      </c>
      <c r="C39" s="187">
        <f>VLOOKUP($B$8 + 3,'Stats by CR'!$A:$G, 5, FALSE)</f>
        <v>6</v>
      </c>
      <c r="D39" s="187"/>
      <c r="E39" s="187" t="str">
        <f>VLOOKUP($B$8 + 3,'Stats by CR'!$A:$G, 6, FALSE)</f>
        <v>39-44</v>
      </c>
      <c r="F39" s="187"/>
      <c r="G39" s="82">
        <f>VLOOKUP($B$8 + 3,'Stats by CR'!$A:$G, 7, FALSE)</f>
        <v>15</v>
      </c>
      <c r="I39" s="107">
        <v>3</v>
      </c>
      <c r="J39" s="82">
        <f>SUM(J34:J36)</f>
        <v>4</v>
      </c>
      <c r="K39" s="187">
        <f>J42+SUM(K35:K36)</f>
        <v>22</v>
      </c>
      <c r="L39" s="187"/>
      <c r="M39" s="187">
        <f>SUM(M34:N36)</f>
        <v>13</v>
      </c>
      <c r="N39" s="187"/>
    </row>
    <row r="40" spans="1:19">
      <c r="B40" s="10"/>
      <c r="C40" s="82"/>
      <c r="D40" s="82"/>
      <c r="E40" s="82"/>
      <c r="F40" s="11"/>
      <c r="G40" s="82"/>
      <c r="H40" s="82"/>
      <c r="I40" s="82"/>
    </row>
    <row r="41" spans="1:19" ht="14.4" customHeight="1">
      <c r="A41" s="103" t="s">
        <v>482</v>
      </c>
      <c r="B41" s="93" t="s">
        <v>447</v>
      </c>
      <c r="C41" s="184" t="s">
        <v>448</v>
      </c>
      <c r="D41" s="184"/>
      <c r="E41" s="93" t="s">
        <v>362</v>
      </c>
      <c r="F41" s="93" t="s">
        <v>449</v>
      </c>
      <c r="G41" s="93" t="s">
        <v>363</v>
      </c>
      <c r="H41" s="93" t="s">
        <v>266</v>
      </c>
      <c r="I41" s="151" t="s">
        <v>468</v>
      </c>
      <c r="J41" s="93" t="s">
        <v>463</v>
      </c>
    </row>
    <row r="42" spans="1:19">
      <c r="A42" s="103"/>
      <c r="B42" s="108" t="str">
        <f>'Weapons and Damage'!I25</f>
        <v>Multi-attack</v>
      </c>
      <c r="C42" s="185">
        <f>'Weapons and Damage'!J25</f>
        <v>2</v>
      </c>
      <c r="D42" s="185"/>
      <c r="E42" s="92" t="str">
        <f>'Weapons and Damage'!K25</f>
        <v>Rapier</v>
      </c>
      <c r="F42" s="92" t="str">
        <f>'Weapons and Damage'!L25</f>
        <v>+6</v>
      </c>
      <c r="G42" s="92" t="str">
        <f>'Weapons and Damage'!M25</f>
        <v>(2d8 + 2)</v>
      </c>
      <c r="H42" s="92" t="str">
        <f>'Weapons and Damage'!N25</f>
        <v>piercing</v>
      </c>
      <c r="I42">
        <f>'Weapons and Damage'!O25</f>
        <v>11</v>
      </c>
      <c r="J42" s="92">
        <f>'Weapons and Damage'!P25</f>
        <v>22</v>
      </c>
    </row>
    <row r="43" spans="1:19" ht="15" thickBot="1">
      <c r="A43" s="103"/>
      <c r="B43" s="108"/>
      <c r="C43" s="12"/>
      <c r="D43" s="12"/>
      <c r="E43" s="92"/>
      <c r="F43" s="92"/>
      <c r="G43" s="92"/>
      <c r="H43" s="92"/>
      <c r="I43" s="92"/>
    </row>
    <row r="44" spans="1:19" ht="15.6" thickTop="1" thickBot="1">
      <c r="A44" s="94" t="s">
        <v>483</v>
      </c>
      <c r="B44" s="2" t="s">
        <v>483</v>
      </c>
      <c r="C44" s="2" t="s">
        <v>464</v>
      </c>
      <c r="D44" s="2" t="s">
        <v>428</v>
      </c>
      <c r="E44" s="2" t="s">
        <v>429</v>
      </c>
      <c r="F44" s="2" t="s">
        <v>430</v>
      </c>
      <c r="G44" s="92"/>
      <c r="H44" s="184" t="s">
        <v>466</v>
      </c>
      <c r="I44" s="191"/>
      <c r="J44" s="33" t="s">
        <v>268</v>
      </c>
    </row>
    <row r="45" spans="1:19" ht="15" thickTop="1">
      <c r="A45" s="103"/>
      <c r="B45" s="14" t="s">
        <v>426</v>
      </c>
      <c r="C45" s="31" t="str">
        <f>K34</f>
        <v>21-26</v>
      </c>
      <c r="D45" s="110" t="str">
        <f>LEFT(C45,FIND("-",C45,1)-1)</f>
        <v>21</v>
      </c>
      <c r="E45" s="110" t="str">
        <f>RIGHT(C45,FIND("-",C45,1)-1)</f>
        <v>26</v>
      </c>
      <c r="F45" s="109">
        <f>(E45+D45)/2</f>
        <v>23.5</v>
      </c>
      <c r="G45" s="92"/>
      <c r="H45" s="184" t="s">
        <v>467</v>
      </c>
      <c r="I45" s="184"/>
      <c r="J45">
        <f>IF(J44="DEX",C12,B12)</f>
        <v>0</v>
      </c>
    </row>
    <row r="46" spans="1:19" ht="15" thickBot="1">
      <c r="A46" s="103"/>
      <c r="B46" s="108"/>
      <c r="C46" s="12"/>
      <c r="D46" s="12"/>
      <c r="E46" s="92"/>
      <c r="F46" s="92"/>
      <c r="G46" s="92"/>
      <c r="H46" s="92"/>
      <c r="I46" s="92"/>
    </row>
    <row r="47" spans="1:19" ht="15" thickBot="1">
      <c r="B47" s="111" t="s">
        <v>465</v>
      </c>
      <c r="C47" s="193" t="s">
        <v>474</v>
      </c>
      <c r="D47" s="193"/>
      <c r="E47" s="193"/>
      <c r="F47" s="112" t="s">
        <v>468</v>
      </c>
      <c r="H47" s="2" t="s">
        <v>477</v>
      </c>
      <c r="I47" s="2" t="s">
        <v>500</v>
      </c>
      <c r="J47" s="2" t="s">
        <v>363</v>
      </c>
      <c r="K47" s="2" t="s">
        <v>479</v>
      </c>
      <c r="L47" s="2" t="s">
        <v>420</v>
      </c>
      <c r="M47" s="2" t="s">
        <v>503</v>
      </c>
    </row>
    <row r="48" spans="1:19">
      <c r="B48" s="113" t="s">
        <v>473</v>
      </c>
      <c r="C48" s="114"/>
      <c r="D48" s="114"/>
      <c r="E48" s="115" t="e">
        <f>#REF!/100</f>
        <v>#REF!</v>
      </c>
      <c r="F48" s="116">
        <v>12</v>
      </c>
      <c r="H48" t="str">
        <f>IF(C55&lt;&gt;0,B48,"")</f>
        <v>1st Attack</v>
      </c>
      <c r="I48" s="41" t="s">
        <v>501</v>
      </c>
      <c r="J48" t="str">
        <f>C56&amp;"d"&amp;(C59*2)-1&amp;" + "&amp;$J$45</f>
        <v>2d10 + 0</v>
      </c>
      <c r="K48" t="str">
        <f>ROUNDUP(C60,0)&amp;" ("&amp;J48&amp;")"</f>
        <v>15 (2d10 + 0)</v>
      </c>
      <c r="L48" s="41" t="s">
        <v>493</v>
      </c>
      <c r="M48">
        <f>IF(C60=0,"",1)</f>
        <v>1</v>
      </c>
      <c r="S48">
        <f>F48/$F$45</f>
        <v>0.51063829787234039</v>
      </c>
    </row>
    <row r="49" spans="1:19">
      <c r="B49" s="113" t="s">
        <v>470</v>
      </c>
      <c r="C49" s="114"/>
      <c r="D49" s="114"/>
      <c r="E49" s="115" t="e">
        <f>#REF!/100</f>
        <v>#REF!</v>
      </c>
      <c r="F49" s="116">
        <v>7</v>
      </c>
      <c r="H49" t="str">
        <f>IF(D55&lt;&gt;0,B49,"")</f>
        <v xml:space="preserve">2nd Attack </v>
      </c>
      <c r="I49" s="42" t="s">
        <v>502</v>
      </c>
      <c r="J49" t="str">
        <f>IF(D59=0,"",D56&amp;"d"&amp;(D59*2)-1&amp;" + "&amp;$J$45)</f>
        <v>1d12 + 0</v>
      </c>
      <c r="K49" t="str">
        <f>IF(D60=0,"",ROUNDUP(D60,0)&amp;" ("&amp;J49&amp;")")</f>
        <v>7 (1d12 + 0)</v>
      </c>
      <c r="L49" s="42" t="s">
        <v>497</v>
      </c>
      <c r="M49">
        <f>IF(D60=0,"",1)</f>
        <v>1</v>
      </c>
      <c r="S49">
        <f>F49/$F$45</f>
        <v>0.2978723404255319</v>
      </c>
    </row>
    <row r="50" spans="1:19">
      <c r="B50" s="113" t="s">
        <v>471</v>
      </c>
      <c r="C50" s="114"/>
      <c r="D50" s="114"/>
      <c r="E50" s="115" t="e">
        <f>#REF!/100</f>
        <v>#REF!</v>
      </c>
      <c r="F50" s="116">
        <v>7</v>
      </c>
      <c r="H50" t="str">
        <f>IF(E55&lt;&gt;0,B50,"")</f>
        <v>3rd Attack</v>
      </c>
      <c r="I50" s="42" t="s">
        <v>502</v>
      </c>
      <c r="J50" t="str">
        <f>IF(E59=0,"",E56&amp;"d"&amp;(E59*2)-1&amp;" + "&amp;$J$45)</f>
        <v>1d12 + 0</v>
      </c>
      <c r="K50" t="str">
        <f>IF(E60=0,"",ROUNDUP(E60,0)&amp;" ("&amp;J50&amp;")")</f>
        <v>7 (1d12 + 0)</v>
      </c>
      <c r="L50" s="42" t="s">
        <v>497</v>
      </c>
      <c r="M50">
        <f>IF(E60=0,"",1)</f>
        <v>1</v>
      </c>
      <c r="S50">
        <f>F50/$F$45</f>
        <v>0.2978723404255319</v>
      </c>
    </row>
    <row r="51" spans="1:19" ht="16.8" customHeight="1" thickBot="1">
      <c r="B51" s="117" t="s">
        <v>472</v>
      </c>
      <c r="C51" s="118"/>
      <c r="D51" s="118"/>
      <c r="E51" s="119" t="e">
        <f>#REF!/100</f>
        <v>#REF!</v>
      </c>
      <c r="F51" s="120">
        <v>0</v>
      </c>
      <c r="H51" t="str">
        <f>IF(F55&lt;&gt;0,B51,"")</f>
        <v/>
      </c>
      <c r="I51" s="43" t="str">
        <f>IF(F62&lt;&gt;0,'Modified WS'!C121,"")</f>
        <v/>
      </c>
      <c r="J51" t="str">
        <f>IF(F59=0,"",F56&amp;"d"&amp;(F59*2)-1&amp;" + "&amp;$J$45)</f>
        <v/>
      </c>
      <c r="K51" t="str">
        <f>IF(F60=0,"",ROUNDUP(F60,0)&amp;" ("&amp;J51&amp;")")</f>
        <v/>
      </c>
      <c r="L51" s="43"/>
      <c r="M51" t="str">
        <f>IF(F60=0,"",1)</f>
        <v/>
      </c>
      <c r="S51">
        <f>F51/$F$45</f>
        <v>0</v>
      </c>
    </row>
    <row r="52" spans="1:19">
      <c r="A52"/>
      <c r="D52" s="35" t="s">
        <v>564</v>
      </c>
      <c r="E52" s="36">
        <f>SUM(S48:S51)</f>
        <v>1.1063829787234041</v>
      </c>
      <c r="F52">
        <f>SUM(F48:F51)</f>
        <v>26</v>
      </c>
    </row>
    <row r="53" spans="1:19">
      <c r="A53"/>
      <c r="C53" s="35"/>
      <c r="D53" s="36"/>
    </row>
    <row r="54" spans="1:19" ht="15" customHeight="1">
      <c r="A54"/>
      <c r="B54" s="30"/>
      <c r="C54" s="93">
        <v>1</v>
      </c>
      <c r="D54" s="93">
        <v>2</v>
      </c>
      <c r="E54" s="93">
        <v>3</v>
      </c>
      <c r="F54" s="93">
        <v>4</v>
      </c>
    </row>
    <row r="55" spans="1:19" ht="15" customHeight="1" thickBot="1">
      <c r="A55"/>
      <c r="B55" s="34" t="s">
        <v>468</v>
      </c>
      <c r="C55">
        <f>F48</f>
        <v>12</v>
      </c>
      <c r="D55">
        <f>F49</f>
        <v>7</v>
      </c>
      <c r="E55">
        <f>F50</f>
        <v>7</v>
      </c>
      <c r="F55">
        <f>F51</f>
        <v>0</v>
      </c>
    </row>
    <row r="56" spans="1:19" ht="15" customHeight="1" thickTop="1" thickBot="1">
      <c r="A56"/>
      <c r="B56" s="34" t="s">
        <v>478</v>
      </c>
      <c r="C56" s="37">
        <v>2</v>
      </c>
      <c r="D56" s="38">
        <v>1</v>
      </c>
      <c r="E56" s="38">
        <v>1</v>
      </c>
      <c r="F56" s="39">
        <v>1</v>
      </c>
    </row>
    <row r="57" spans="1:19" ht="15" customHeight="1" thickTop="1">
      <c r="A57"/>
      <c r="B57" s="34" t="s">
        <v>469</v>
      </c>
      <c r="C57">
        <f>C55-$J$45</f>
        <v>12</v>
      </c>
      <c r="D57">
        <f>IF(D55-$J$45&lt;0,0,D55-$J$45)</f>
        <v>7</v>
      </c>
      <c r="E57">
        <f>IF(E55-$J$45&lt;0,0,E55-$J$45)</f>
        <v>7</v>
      </c>
      <c r="F57">
        <f>IF(F55-$J$45&lt;0,0,F55-$J$45)</f>
        <v>0</v>
      </c>
    </row>
    <row r="58" spans="1:19" ht="15" customHeight="1">
      <c r="A58"/>
      <c r="B58" s="34" t="s">
        <v>565</v>
      </c>
      <c r="C58" s="114">
        <f>IF(C55=0,0,C57/C56)</f>
        <v>6</v>
      </c>
      <c r="D58" s="114">
        <f>IF(D55=0,0,D57/D56)</f>
        <v>7</v>
      </c>
      <c r="E58" s="114">
        <f>IF(E55=0,0,E57/E56)</f>
        <v>7</v>
      </c>
      <c r="F58" s="114">
        <f>IF(F55=0,0,F57/F56)</f>
        <v>0</v>
      </c>
    </row>
    <row r="59" spans="1:19" ht="15" customHeight="1">
      <c r="A59"/>
      <c r="B59" s="34" t="s">
        <v>475</v>
      </c>
      <c r="C59">
        <f t="array" ref="C59">MAX(IF('Average Roll by Die'!$B$2:$B$8&lt;C58,'Average Roll by Die'!$B$2:$B$8,""))</f>
        <v>5.5</v>
      </c>
      <c r="D59">
        <f t="array" ref="D59">MAX(IF('Average Roll by Die'!$B$2:$B$8&lt;D58,'Average Roll by Die'!$B$2:$B$8,""))</f>
        <v>6.5</v>
      </c>
      <c r="E59">
        <f t="array" ref="E59">MAX(IF('Average Roll by Die'!$B$2:$B$8&lt;E58,'Average Roll by Die'!$B$2:$B$8,""))</f>
        <v>6.5</v>
      </c>
      <c r="F59">
        <f t="array" ref="F59">MAX(IF('Average Roll by Die'!$B$2:$B$8&lt;F58,'Average Roll by Die'!$B$2:$B$8,""))</f>
        <v>0</v>
      </c>
    </row>
    <row r="60" spans="1:19" ht="15" customHeight="1">
      <c r="A60"/>
      <c r="B60" s="34" t="s">
        <v>566</v>
      </c>
      <c r="C60">
        <f>(C59*C56)+4</f>
        <v>15</v>
      </c>
      <c r="D60">
        <f>IF(D55=0,0,(D59*D56)+$J$45)</f>
        <v>6.5</v>
      </c>
      <c r="E60">
        <f>IF(E55=0,0,(E59*E56)+$J$45)</f>
        <v>6.5</v>
      </c>
      <c r="F60">
        <f>IF(F55=0,0,(F59*F56)+$J$45)</f>
        <v>0</v>
      </c>
    </row>
    <row r="61" spans="1:19" ht="15" customHeight="1">
      <c r="A61"/>
    </row>
    <row r="62" spans="1:19">
      <c r="A62"/>
      <c r="B62" s="34" t="s">
        <v>476</v>
      </c>
      <c r="C62" s="9">
        <f>SUM(C60:F60)</f>
        <v>28</v>
      </c>
    </row>
    <row r="63" spans="1:19">
      <c r="A63"/>
      <c r="C63" s="35"/>
      <c r="D63" s="36"/>
    </row>
    <row r="64" spans="1:19">
      <c r="A64"/>
      <c r="B64" s="123" t="s">
        <v>447</v>
      </c>
      <c r="C64" s="123" t="s">
        <v>449</v>
      </c>
      <c r="D64" s="123" t="s">
        <v>363</v>
      </c>
      <c r="E64" s="123" t="s">
        <v>266</v>
      </c>
      <c r="F64" s="123" t="s">
        <v>569</v>
      </c>
    </row>
    <row r="65" spans="1:11">
      <c r="A65"/>
      <c r="B65" s="108" t="str">
        <f>I48</f>
        <v>Slam</v>
      </c>
      <c r="C65" s="121" t="str">
        <f>"+"&amp;$J$45+$J$39</f>
        <v>+4</v>
      </c>
      <c r="D65" s="121" t="str">
        <f>K48</f>
        <v>15 (2d10 + 0)</v>
      </c>
      <c r="E65" s="121" t="str">
        <f>L48</f>
        <v>Bludgeoning</v>
      </c>
      <c r="F65" s="121">
        <f>C60</f>
        <v>15</v>
      </c>
    </row>
    <row r="66" spans="1:11">
      <c r="A66"/>
      <c r="B66" s="108" t="str">
        <f>IF(M49=1,I49,"")</f>
        <v>Swipe</v>
      </c>
      <c r="C66" s="121" t="str">
        <f>IF(M49=1,"+"&amp;$J$45+$J$39,"")</f>
        <v>+4</v>
      </c>
      <c r="D66" s="121" t="str">
        <f>IF(M49=1,K49,"")</f>
        <v>7 (1d12 + 0)</v>
      </c>
      <c r="E66" s="121" t="str">
        <f>IF(M49=1,L49,"")</f>
        <v>Slashing</v>
      </c>
      <c r="F66" s="121">
        <f>IF(M49=1,D60,"")</f>
        <v>6.5</v>
      </c>
    </row>
    <row r="67" spans="1:11">
      <c r="A67"/>
      <c r="B67" s="108" t="str">
        <f t="shared" ref="B67:B68" si="0">IF(M50=1,I50,"")</f>
        <v>Swipe</v>
      </c>
      <c r="C67" s="121" t="str">
        <f t="shared" ref="C67:C68" si="1">IF(M50=1,"+"&amp;$J$45+$J$39,"")</f>
        <v>+4</v>
      </c>
      <c r="D67" s="121" t="str">
        <f t="shared" ref="D67:D68" si="2">IF(M50=1,K50,"")</f>
        <v>7 (1d12 + 0)</v>
      </c>
      <c r="E67" s="121" t="str">
        <f t="shared" ref="E67:E68" si="3">IF(M50=1,L50,"")</f>
        <v>Slashing</v>
      </c>
      <c r="F67" s="121">
        <f>IF(M50=1,E60,"")</f>
        <v>6.5</v>
      </c>
    </row>
    <row r="68" spans="1:11">
      <c r="A68"/>
      <c r="B68" s="108" t="str">
        <f t="shared" si="0"/>
        <v/>
      </c>
      <c r="C68" s="121" t="str">
        <f t="shared" si="1"/>
        <v/>
      </c>
      <c r="D68" s="121" t="str">
        <f t="shared" si="2"/>
        <v/>
      </c>
      <c r="E68" s="121" t="str">
        <f t="shared" si="3"/>
        <v/>
      </c>
      <c r="F68" s="121" t="str">
        <f>IF(M51=1,F60,"")</f>
        <v/>
      </c>
    </row>
    <row r="69" spans="1:11" ht="15" thickBot="1">
      <c r="A69"/>
      <c r="B69" s="108"/>
      <c r="C69" s="125"/>
      <c r="D69" s="125"/>
      <c r="E69" s="125"/>
      <c r="F69" s="125"/>
    </row>
    <row r="70" spans="1:11" ht="15" thickBot="1">
      <c r="A70" s="181" t="s">
        <v>586</v>
      </c>
      <c r="B70" s="180" t="s">
        <v>263</v>
      </c>
      <c r="C70" s="180"/>
      <c r="D70" s="180"/>
      <c r="F70" s="2" t="s">
        <v>556</v>
      </c>
      <c r="G70" s="128">
        <v>3</v>
      </c>
      <c r="H70" s="2" t="s">
        <v>5</v>
      </c>
      <c r="I70" s="34" t="s">
        <v>574</v>
      </c>
      <c r="J70" s="133" t="s">
        <v>672</v>
      </c>
      <c r="K70" s="87"/>
    </row>
    <row r="71" spans="1:11" ht="15" thickBot="1">
      <c r="A71" s="181"/>
      <c r="B71" s="83" t="s">
        <v>563</v>
      </c>
      <c r="C71" s="83" t="s">
        <v>5</v>
      </c>
      <c r="D71" s="7" t="s">
        <v>6</v>
      </c>
      <c r="F71" s="2" t="s">
        <v>543</v>
      </c>
      <c r="G71" s="40" t="s">
        <v>529</v>
      </c>
      <c r="H71" s="133">
        <f>'Armor and HP'!K8</f>
        <v>13</v>
      </c>
      <c r="I71" s="134">
        <f>SUM(H71:H72)</f>
        <v>13</v>
      </c>
      <c r="J71" s="87"/>
      <c r="K71" s="87"/>
    </row>
    <row r="72" spans="1:11" ht="15" thickBot="1">
      <c r="A72" s="122"/>
      <c r="B72" s="10">
        <f>$B$8-3</f>
        <v>0</v>
      </c>
      <c r="C72" s="82" t="str">
        <f>VLOOKUP($B$8 - 3,'Stats by CR'!$A:$G, 3, FALSE)</f>
        <v>&lt;= 13</v>
      </c>
      <c r="D72" s="82" t="str">
        <f>VLOOKUP($B$8 - 3,'Stats by CR'!$A:$G, 4, FALSE)</f>
        <v>1-6</v>
      </c>
      <c r="F72" s="2" t="s">
        <v>572</v>
      </c>
      <c r="G72" s="40"/>
      <c r="H72" s="133">
        <f>IF(ISBLANK(G72),0,VLOOKUP(G72,'Armor and HP'!G:H,2,FALSE))</f>
        <v>0</v>
      </c>
      <c r="I72" s="87"/>
      <c r="J72" s="87"/>
      <c r="K72" s="87"/>
    </row>
    <row r="73" spans="1:11">
      <c r="B73" s="10">
        <f>$B$8-2</f>
        <v>1</v>
      </c>
      <c r="C73" s="82">
        <f>VLOOKUP($B$8 - 2,'Stats by CR'!$A:$G, 3, FALSE)</f>
        <v>13</v>
      </c>
      <c r="D73" s="82" t="str">
        <f>VLOOKUP($B$8 - 2,'Stats by CR'!$A:$G, 4, FALSE)</f>
        <v>71-85</v>
      </c>
      <c r="F73" s="105"/>
      <c r="G73" s="124" t="s">
        <v>5</v>
      </c>
      <c r="H73" s="186" t="s">
        <v>6</v>
      </c>
      <c r="I73" s="186"/>
      <c r="J73" s="129"/>
      <c r="K73" s="129"/>
    </row>
    <row r="74" spans="1:11">
      <c r="B74" s="10">
        <f>$B$8-1</f>
        <v>2</v>
      </c>
      <c r="C74" s="11">
        <f>VLOOKUP($B$8 - 1,'Stats by CR'!$A:$G, 3, FALSE)</f>
        <v>13</v>
      </c>
      <c r="D74" s="11" t="str">
        <f>VLOOKUP($B$8 - 1,'Stats by CR'!$A:$G, 4, FALSE)</f>
        <v>86-100</v>
      </c>
      <c r="F74" s="104" t="s">
        <v>558</v>
      </c>
      <c r="G74" s="121">
        <f>VLOOKUP(G70,B72:D78,2,FALSE)</f>
        <v>13</v>
      </c>
      <c r="H74" s="2" t="s">
        <v>464</v>
      </c>
      <c r="I74" s="27" t="str">
        <f>VLOOKUP(G70,B72:D78,3,FALSE)</f>
        <v>101-115</v>
      </c>
      <c r="J74" s="129"/>
      <c r="K74" s="129"/>
    </row>
    <row r="75" spans="1:11" ht="15" thickBot="1">
      <c r="B75" s="10">
        <f>$B$8</f>
        <v>3</v>
      </c>
      <c r="C75" s="11">
        <f>VLOOKUP($B$8,'Stats by CR'!$A:$G, 3, FALSE)</f>
        <v>13</v>
      </c>
      <c r="D75" s="11" t="str">
        <f>VLOOKUP($B$8,'Stats by CR'!$A:$G, 4, FALSE)</f>
        <v>101-115</v>
      </c>
      <c r="F75" s="133" t="s">
        <v>582</v>
      </c>
      <c r="G75" s="125">
        <f>I71</f>
        <v>13</v>
      </c>
      <c r="H75" s="23" t="s">
        <v>430</v>
      </c>
      <c r="I75" s="136">
        <f>'Armor and HP'!K11</f>
        <v>108</v>
      </c>
      <c r="J75" s="129"/>
      <c r="K75" s="129"/>
    </row>
    <row r="76" spans="1:11" ht="15" thickBot="1">
      <c r="B76" s="10">
        <f>$B$8+1</f>
        <v>4</v>
      </c>
      <c r="C76" s="11">
        <f>VLOOKUP($B$8+1,'Stats by CR'!$A:$G, 3, FALSE)</f>
        <v>14</v>
      </c>
      <c r="D76" s="11" t="str">
        <f>VLOOKUP($B$8 + 1,'Stats by CR'!$A:$G, 4, FALSE)</f>
        <v>116-130</v>
      </c>
      <c r="F76" s="17" t="s">
        <v>559</v>
      </c>
      <c r="G76" s="107">
        <v>13</v>
      </c>
      <c r="H76" s="23" t="s">
        <v>584</v>
      </c>
      <c r="I76" s="40">
        <v>0</v>
      </c>
      <c r="J76" s="8"/>
      <c r="K76" s="8"/>
    </row>
    <row r="77" spans="1:11">
      <c r="B77" s="10">
        <f>$B$8+2</f>
        <v>5</v>
      </c>
      <c r="C77" s="11">
        <f>VLOOKUP($B$8+2,'Stats by CR'!$A:$G, 3, FALSE)</f>
        <v>15</v>
      </c>
      <c r="D77" s="11" t="str">
        <f>VLOOKUP($B$8 + 2,'Stats by CR'!$A:$G, 4, FALSE)</f>
        <v>131-145</v>
      </c>
      <c r="F77" s="17" t="s">
        <v>560</v>
      </c>
      <c r="G77" s="121">
        <v>0</v>
      </c>
      <c r="H77" s="26" t="s">
        <v>585</v>
      </c>
      <c r="I77" s="27"/>
      <c r="J77" s="8"/>
      <c r="K77" s="8"/>
    </row>
    <row r="78" spans="1:11">
      <c r="B78" s="10">
        <f>$B$8+3</f>
        <v>6</v>
      </c>
      <c r="C78" s="82">
        <f>VLOOKUP($B$8 + 3,'Stats by CR'!$A:$G, 3, FALSE)</f>
        <v>15</v>
      </c>
      <c r="D78" s="82" t="str">
        <f>VLOOKUP($B$8 + 3,'Stats by CR'!$A:$G, 4, FALSE)</f>
        <v>146-160</v>
      </c>
      <c r="J78" s="129"/>
      <c r="K78" s="129"/>
    </row>
    <row r="79" spans="1:11" ht="15" thickBot="1">
      <c r="F79" s="123" t="s">
        <v>557</v>
      </c>
      <c r="G79" s="123" t="s">
        <v>344</v>
      </c>
      <c r="H79" s="23" t="s">
        <v>345</v>
      </c>
      <c r="I79" s="129"/>
      <c r="J79" s="130"/>
      <c r="K79" s="130"/>
    </row>
    <row r="80" spans="1:11" ht="15" thickBot="1">
      <c r="B80" s="180" t="s">
        <v>587</v>
      </c>
      <c r="C80" s="180"/>
      <c r="D80" s="180"/>
      <c r="F80" s="107">
        <v>3</v>
      </c>
      <c r="G80" s="125">
        <f>SUM(G75:G77)</f>
        <v>26</v>
      </c>
      <c r="H80" s="135">
        <f>SUM(I75,I76,I77)</f>
        <v>108</v>
      </c>
      <c r="I80" s="8" t="s">
        <v>591</v>
      </c>
      <c r="K80" s="8"/>
    </row>
    <row r="81" spans="1:11" ht="15" thickBot="1">
      <c r="B81" s="2" t="s">
        <v>420</v>
      </c>
      <c r="C81" s="2" t="s">
        <v>589</v>
      </c>
      <c r="D81" s="2" t="s">
        <v>590</v>
      </c>
      <c r="F81" s="127"/>
      <c r="G81" s="125"/>
      <c r="H81" s="137"/>
      <c r="I81" s="125"/>
      <c r="J81" s="8"/>
      <c r="K81" s="8"/>
    </row>
    <row r="82" spans="1:11" ht="15" thickBot="1">
      <c r="B82" s="128"/>
      <c r="D82" t="str">
        <f>IF(C82="Resistance",VLOOKUP($F$80,'Effec HP Based on Res. and Imm.'!A:B,2,FALSE),IF(C82="Immunity",VLOOKUP($F$80,'Effec HP Based on Res. and Imm.'!A:F,3,FALSE),""))</f>
        <v/>
      </c>
      <c r="F82" s="138" t="s">
        <v>593</v>
      </c>
      <c r="G82" s="2" t="s">
        <v>594</v>
      </c>
      <c r="H82" s="139" t="s">
        <v>595</v>
      </c>
      <c r="I82" s="125"/>
      <c r="J82" s="8"/>
      <c r="K82" s="8"/>
    </row>
    <row r="83" spans="1:11" ht="15" thickBot="1">
      <c r="B83" s="128"/>
      <c r="D83" t="str">
        <f>IF(C83="Resistance",VLOOKUP($F$80,'Effec HP Based on Res. and Imm.'!A:B,2,FALSE),IF(C83="Immunity",VLOOKUP($F$80,'Effec HP Based on Res. and Imm.'!A:F,3,FALSE),""))</f>
        <v/>
      </c>
      <c r="F83" s="127" t="str">
        <f>'Hit Dice by Size'!F4</f>
        <v>d10</v>
      </c>
      <c r="G83" s="125">
        <f>'Hit Dice by Size'!F6</f>
        <v>1</v>
      </c>
      <c r="H83" s="125" t="str">
        <f>"("&amp;'Hit Dice by Size'!$F$7&amp;'Hit Dice by Size'!$F$4&amp;" + "&amp;('Hit Dice by Size'!$F$6*'Hit Dice by Size'!$F$7)&amp;")"</f>
        <v>(17d10 + 17)</v>
      </c>
      <c r="I83" s="125"/>
      <c r="J83" s="8"/>
      <c r="K83" s="8"/>
    </row>
    <row r="84" spans="1:11" ht="15" thickBot="1">
      <c r="B84" s="128"/>
      <c r="D84" t="str">
        <f>IF(C84="Resistance",VLOOKUP($F$80,'Effec HP Based on Res. and Imm.'!A:B,2,FALSE),IF(C84="Immunity",VLOOKUP($F$80,'Effec HP Based on Res. and Imm.'!A:F,3,FALSE),""))</f>
        <v/>
      </c>
      <c r="F84" s="127"/>
      <c r="G84" s="125"/>
      <c r="H84" s="137"/>
      <c r="I84" s="125"/>
      <c r="J84" s="8"/>
      <c r="K84" s="8"/>
    </row>
    <row r="85" spans="1:11" ht="15" thickBot="1">
      <c r="B85" s="128"/>
      <c r="D85" t="str">
        <f>IF(C85="Resistance",VLOOKUP($F$80,'Effec HP Based on Res. and Imm.'!A:B,2,FALSE),IF(C85="Immunity",VLOOKUP($F$80,'Effec HP Based on Res. and Imm.'!A:F,3,FALSE),""))</f>
        <v/>
      </c>
      <c r="F85" s="127"/>
      <c r="G85" s="125"/>
      <c r="I85" s="125"/>
      <c r="J85" s="8"/>
      <c r="K85" s="8"/>
    </row>
    <row r="86" spans="1:11">
      <c r="J86" s="8"/>
      <c r="K86" s="8"/>
    </row>
    <row r="87" spans="1:11" ht="15" thickBot="1">
      <c r="A87" s="94" t="s">
        <v>597</v>
      </c>
      <c r="B87" s="2" t="s">
        <v>603</v>
      </c>
      <c r="C87" s="2" t="s">
        <v>599</v>
      </c>
      <c r="D87" s="2" t="s">
        <v>600</v>
      </c>
      <c r="E87" s="2" t="s">
        <v>601</v>
      </c>
      <c r="F87" s="34" t="s">
        <v>602</v>
      </c>
      <c r="G87" s="97"/>
      <c r="H87" s="192" t="s">
        <v>609</v>
      </c>
      <c r="I87" s="192"/>
      <c r="J87" s="192"/>
      <c r="K87" s="192"/>
    </row>
    <row r="88" spans="1:11" ht="15" thickBot="1">
      <c r="B88" s="149"/>
      <c r="C88" s="128" t="s">
        <v>607</v>
      </c>
      <c r="D88" s="128" t="s">
        <v>653</v>
      </c>
      <c r="E88" s="128"/>
      <c r="F88" s="128" t="s">
        <v>608</v>
      </c>
      <c r="G88" s="97"/>
      <c r="H88" s="97" t="str">
        <f>IF(ISBLANK(B88),"",B88&amp;", ")</f>
        <v/>
      </c>
      <c r="I88" s="97" t="str">
        <f t="shared" ref="I88:K89" si="4">IF(ISBLANK(D89),"",D89&amp;", ")</f>
        <v xml:space="preserve">Investigation (+6), </v>
      </c>
      <c r="J88" s="97" t="str">
        <f t="shared" si="4"/>
        <v/>
      </c>
      <c r="K88" s="97" t="str">
        <f t="shared" si="4"/>
        <v/>
      </c>
    </row>
    <row r="89" spans="1:11" ht="15" thickBot="1">
      <c r="C89" s="128"/>
      <c r="D89" s="128" t="s">
        <v>654</v>
      </c>
      <c r="E89" s="128"/>
      <c r="F89" s="128"/>
      <c r="G89" s="97"/>
      <c r="H89" s="97" t="str">
        <f>IF(ISBLANK(C88),"",C88&amp;", ")</f>
        <v xml:space="preserve">Acrobatics (+5), </v>
      </c>
      <c r="I89" s="97" t="str">
        <f t="shared" si="4"/>
        <v/>
      </c>
      <c r="J89" s="97" t="str">
        <f t="shared" si="4"/>
        <v/>
      </c>
      <c r="K89" s="97" t="str">
        <f t="shared" si="4"/>
        <v/>
      </c>
    </row>
    <row r="90" spans="1:11" ht="15" thickBot="1">
      <c r="C90" s="128"/>
      <c r="D90" s="128"/>
      <c r="E90" s="128"/>
      <c r="F90" s="128"/>
      <c r="G90" s="97"/>
      <c r="H90" s="97" t="str">
        <f>IF(ISBLANK(C89),"",C89&amp;", ")</f>
        <v/>
      </c>
      <c r="I90" s="97" t="str">
        <f>IF(ISBLANK(D91),"",D91&amp;", ")</f>
        <v/>
      </c>
      <c r="J90" s="97" t="str">
        <f>IF(ISBLANK(E91),"",E91&amp;", ")</f>
        <v/>
      </c>
      <c r="K90" s="97" t="str">
        <f>IF(ISBLANK(F91),"",F91&amp;",")</f>
        <v/>
      </c>
    </row>
    <row r="91" spans="1:11" ht="15" thickBot="1">
      <c r="D91" s="128"/>
      <c r="E91" s="128"/>
      <c r="F91" s="128"/>
      <c r="G91" s="97"/>
      <c r="H91" s="97" t="str">
        <f>IF(ISBLANK(C90),"",C90&amp;", ")</f>
        <v/>
      </c>
      <c r="I91" s="97" t="str">
        <f>IF(ISBLANK(D92),"",D92&amp;", ")</f>
        <v/>
      </c>
      <c r="J91" s="97" t="str">
        <f>IF(ISBLANK(E92),"",E92&amp;", ")</f>
        <v/>
      </c>
      <c r="K91" s="97"/>
    </row>
    <row r="92" spans="1:11" ht="15" thickBot="1">
      <c r="D92" s="128"/>
      <c r="E92" s="128"/>
      <c r="F92" s="87"/>
      <c r="G92" s="97"/>
      <c r="H92" s="97" t="str">
        <f>IF(ISBLANK(D88),"",D88&amp;", ")</f>
        <v xml:space="preserve">Arcana (+6), </v>
      </c>
      <c r="I92" s="97" t="str">
        <f>IF(ISBLANK(E88),"",E88&amp;", ")</f>
        <v/>
      </c>
      <c r="J92" s="97" t="str">
        <f>IF(ISBLANK(F88),"",F88&amp;", ")</f>
        <v xml:space="preserve">Intimidation (+4), </v>
      </c>
    </row>
    <row r="93" spans="1:11">
      <c r="B93" t="str">
        <f>IF(RIGHT(TRIM("passive Perception "&amp;10+F1+F12&amp;", "&amp;_xlfn.CONCAT(H88:K92)),1)=",",LEFT(TRIM("passive Perception "&amp;10+F1+F12&amp;", "&amp;_xlfn.CONCAT(H88:K92)),LEN(TRIM("passive Perception "&amp;10+F1+F12&amp;", "&amp;_xlfn.CONCAT(H88:K92)))-1),"passive Perception "&amp;10+F1+F12&amp;", "&amp;_xlfn.CONCAT(H88:K92))</f>
        <v>passive Perception 14, Investigation (+6), Acrobatics (+5), Arcana (+6), Intimidation (+4)</v>
      </c>
      <c r="D93" s="114"/>
      <c r="E93" s="114"/>
      <c r="F93" s="87"/>
      <c r="G93" s="97"/>
      <c r="H93" s="97"/>
    </row>
    <row r="94" spans="1:11" ht="15" thickBot="1">
      <c r="D94" s="114"/>
      <c r="E94" s="114"/>
      <c r="F94" s="87"/>
      <c r="G94" s="97"/>
      <c r="H94" s="97"/>
    </row>
    <row r="95" spans="1:11" ht="15" thickBot="1">
      <c r="A95" s="94" t="s">
        <v>598</v>
      </c>
      <c r="B95" s="2" t="s">
        <v>674</v>
      </c>
      <c r="C95" s="128">
        <v>35</v>
      </c>
      <c r="D95" s="114" t="str">
        <f>IF(ISBLANK(C95),"",C95&amp;" ft., ")</f>
        <v xml:space="preserve">35 ft., </v>
      </c>
      <c r="E95" s="114"/>
      <c r="F95" s="87"/>
      <c r="G95" s="97"/>
      <c r="H95" s="97"/>
    </row>
    <row r="96" spans="1:11" ht="15" thickBot="1">
      <c r="B96" s="2" t="s">
        <v>675</v>
      </c>
      <c r="C96" s="128">
        <v>40</v>
      </c>
      <c r="D96" s="114" t="str">
        <f>IF(ISBLANK(C96),"",B96&amp;" "&amp;C96&amp;" ft., ")</f>
        <v xml:space="preserve">Swimming 40 ft., </v>
      </c>
      <c r="E96" s="114"/>
      <c r="F96" s="87"/>
      <c r="G96" s="97"/>
      <c r="H96" s="97"/>
    </row>
    <row r="97" spans="1:8" ht="15" thickBot="1">
      <c r="B97" s="2" t="s">
        <v>676</v>
      </c>
      <c r="C97" s="128"/>
      <c r="D97" s="114" t="str">
        <f>IF(ISBLANK(C97),"",B97&amp;" "&amp;C97&amp;" ft., ")</f>
        <v/>
      </c>
      <c r="E97" s="114"/>
      <c r="F97" s="87"/>
      <c r="G97" s="97"/>
      <c r="H97" s="97"/>
    </row>
    <row r="98" spans="1:8" ht="15" thickBot="1">
      <c r="B98" s="2" t="s">
        <v>677</v>
      </c>
      <c r="C98" s="128"/>
      <c r="D98" s="114" t="str">
        <f>IF(ISBLANK(C98),"",B98&amp;" "&amp;C98&amp;" ft., ")</f>
        <v/>
      </c>
      <c r="E98" s="114"/>
      <c r="F98" s="87"/>
      <c r="G98" s="97"/>
      <c r="H98" s="97"/>
    </row>
    <row r="99" spans="1:8" ht="15" thickBot="1">
      <c r="B99" s="2" t="s">
        <v>678</v>
      </c>
      <c r="C99" s="128"/>
      <c r="D99" s="114" t="str">
        <f>IF(ISBLANK(C99),"",B99&amp;" "&amp;C99&amp;" ft., ")</f>
        <v/>
      </c>
      <c r="F99" s="87"/>
      <c r="G99" s="97"/>
      <c r="H99" s="97"/>
    </row>
    <row r="100" spans="1:8">
      <c r="B100" t="str">
        <f>IF(RIGHT(TRIM(_xlfn.CONCAT(D95:D99)),1)=",",LEFT(TRIM(_xlfn.CONCAT(D95:D99)),LEN(TRIM(_xlfn.CONCAT(D95:D99)))-1),_xlfn.CONCAT(D95:D99))</f>
        <v>35 ft., Swimming 40 ft.</v>
      </c>
      <c r="C100" s="114"/>
      <c r="F100" s="87"/>
      <c r="G100" s="97"/>
      <c r="H100" s="97"/>
    </row>
    <row r="101" spans="1:8" ht="15" thickBot="1">
      <c r="F101" s="87"/>
      <c r="G101" s="97"/>
      <c r="H101" s="97"/>
    </row>
    <row r="102" spans="1:8" ht="15" thickBot="1">
      <c r="A102" s="94" t="s">
        <v>611</v>
      </c>
      <c r="B102" s="2" t="s">
        <v>682</v>
      </c>
      <c r="C102" s="128"/>
      <c r="D102" s="114" t="str">
        <f>IF(ISBLANK(C102),"",B102&amp;" "&amp;C102&amp;" ft., ")</f>
        <v/>
      </c>
      <c r="F102" s="87"/>
      <c r="G102" s="97"/>
      <c r="H102" s="97"/>
    </row>
    <row r="103" spans="1:8" ht="15" thickBot="1">
      <c r="B103" s="2" t="s">
        <v>681</v>
      </c>
      <c r="C103" s="128">
        <v>60</v>
      </c>
      <c r="D103" s="114" t="str">
        <f>IF(ISBLANK(C103),"",B103&amp;" "&amp;C103&amp;" ft., ")</f>
        <v xml:space="preserve">Darkvision 60 ft., </v>
      </c>
      <c r="F103" s="87"/>
      <c r="G103" s="97"/>
      <c r="H103" s="97"/>
    </row>
    <row r="104" spans="1:8" ht="15" thickBot="1">
      <c r="B104" s="2" t="s">
        <v>680</v>
      </c>
      <c r="C104" s="128">
        <v>10</v>
      </c>
      <c r="D104" s="114" t="str">
        <f>IF(ISBLANK(C104),"",B104&amp;" "&amp;C104&amp;" ft., ")</f>
        <v xml:space="preserve">Tremorsense 10 ft., </v>
      </c>
      <c r="F104" s="87"/>
      <c r="G104" s="97"/>
      <c r="H104" s="97"/>
    </row>
    <row r="105" spans="1:8" ht="15" thickBot="1">
      <c r="B105" s="2" t="s">
        <v>679</v>
      </c>
      <c r="C105" s="128"/>
      <c r="D105" s="114" t="str">
        <f>IF(ISBLANK(C105),"",B105&amp;" "&amp;C105&amp;" ft., ")</f>
        <v/>
      </c>
      <c r="F105" s="87"/>
      <c r="G105" s="97"/>
      <c r="H105" s="97"/>
    </row>
    <row r="106" spans="1:8">
      <c r="B106" t="str">
        <f>IF(RIGHT(TRIM(_xlfn.CONCAT(D102:D105)),1)=",",LEFT(TRIM(_xlfn.CONCAT(D102:D105)),LEN(TRIM(_xlfn.CONCAT(D102:D105)))-1),_xlfn.CONCAT(D102:D105))</f>
        <v>Darkvision 60 ft., Tremorsense 10 ft.</v>
      </c>
      <c r="F106" s="87"/>
      <c r="G106" s="97"/>
      <c r="H106" s="97"/>
    </row>
    <row r="107" spans="1:8">
      <c r="F107" s="87"/>
      <c r="G107" s="97"/>
      <c r="H107" s="97"/>
    </row>
    <row r="108" spans="1:8">
      <c r="F108" s="131"/>
      <c r="G108" s="97"/>
      <c r="H108" s="97"/>
    </row>
    <row r="109" spans="1:8" ht="15" thickBot="1">
      <c r="A109" s="94" t="s">
        <v>612</v>
      </c>
      <c r="B109" s="2" t="s">
        <v>613</v>
      </c>
      <c r="C109" s="2" t="s">
        <v>615</v>
      </c>
      <c r="E109" s="184" t="s">
        <v>662</v>
      </c>
      <c r="F109" s="184"/>
      <c r="G109" s="97"/>
      <c r="H109" s="97"/>
    </row>
    <row r="110" spans="1:8">
      <c r="B110" s="41" t="s">
        <v>616</v>
      </c>
      <c r="C110" t="str">
        <f>IF(ISBLANK(B110),"",VLOOKUP(B110,Languages!A:C,3,FALSE))</f>
        <v>Common</v>
      </c>
      <c r="E110" s="187" t="str">
        <f>B110&amp;", "</f>
        <v xml:space="preserve">Common, </v>
      </c>
      <c r="F110" s="187"/>
    </row>
    <row r="111" spans="1:8">
      <c r="B111" s="42" t="s">
        <v>518</v>
      </c>
      <c r="C111" t="str">
        <f>IF(ISBLANK(B111),"",VLOOKUP(B111,Languages!A:C,3,FALSE))</f>
        <v>Celestial</v>
      </c>
      <c r="E111" s="187" t="str">
        <f>IF(ISBLANK(B111),"",B111&amp;", ")</f>
        <v xml:space="preserve">Celestial, </v>
      </c>
      <c r="F111" s="187"/>
    </row>
    <row r="112" spans="1:8">
      <c r="B112" s="42" t="s">
        <v>618</v>
      </c>
      <c r="C112" t="str">
        <f>IF(ISBLANK(B112),"",VLOOKUP(B112,Languages!A:C,3,FALSE))</f>
        <v>Dwarvish</v>
      </c>
      <c r="E112" s="187" t="str">
        <f>IF(ISBLANK(B112),"",B112&amp;", ")</f>
        <v xml:space="preserve">Dwarvish, </v>
      </c>
      <c r="F112" s="187"/>
    </row>
    <row r="113" spans="2:6">
      <c r="B113" s="42" t="s">
        <v>620</v>
      </c>
      <c r="C113" t="str">
        <f>IF(ISBLANK(B113),"",VLOOKUP(B113,Languages!A:C,3,FALSE))</f>
        <v>Elvish</v>
      </c>
      <c r="E113" s="187" t="str">
        <f>IF(ISBLANK(B113),"",B113&amp;", ")</f>
        <v xml:space="preserve">Elvish, </v>
      </c>
      <c r="F113" s="187"/>
    </row>
    <row r="114" spans="2:6">
      <c r="B114" s="42"/>
      <c r="C114" t="str">
        <f>IF(ISBLANK(B114),"",VLOOKUP(B114,Languages!A:C,3,FALSE))</f>
        <v/>
      </c>
      <c r="E114" s="187" t="str">
        <f>IF(ISBLANK(B114),"",B114&amp;", ")</f>
        <v/>
      </c>
      <c r="F114" s="187"/>
    </row>
    <row r="115" spans="2:6" ht="15" thickBot="1">
      <c r="B115" s="43"/>
      <c r="C115" t="str">
        <f>IF(ISBLANK(B115),"",VLOOKUP(B115,Languages!A:C,3,FALSE))</f>
        <v/>
      </c>
      <c r="E115" s="187" t="str">
        <f>IF(ISBLANK(B115),"",B115&amp;", ")</f>
        <v/>
      </c>
      <c r="F115" s="187"/>
    </row>
    <row r="116" spans="2:6">
      <c r="B116" t="str">
        <f>IF(RIGHT(TRIM(_xlfn.CONCAT(E110:F115)),1)=",",LEFT(TRIM(_xlfn.CONCAT(E110:F115)),LEN(TRIM(_xlfn.CONCAT(E110:F115)))-1),_xlfn.CONCAT(H111:K115))</f>
        <v>Common, Celestial, Dwarvish, Elvish</v>
      </c>
    </row>
  </sheetData>
  <mergeCells count="67">
    <mergeCell ref="E114:F114"/>
    <mergeCell ref="E115:F115"/>
    <mergeCell ref="E109:F109"/>
    <mergeCell ref="E110:F110"/>
    <mergeCell ref="E111:F111"/>
    <mergeCell ref="E112:F112"/>
    <mergeCell ref="E113:F113"/>
    <mergeCell ref="H87:K87"/>
    <mergeCell ref="B80:D80"/>
    <mergeCell ref="M36:N36"/>
    <mergeCell ref="M35:N35"/>
    <mergeCell ref="C47:E47"/>
    <mergeCell ref="H45:I45"/>
    <mergeCell ref="E36:F36"/>
    <mergeCell ref="E37:F37"/>
    <mergeCell ref="E38:F38"/>
    <mergeCell ref="H73:I73"/>
    <mergeCell ref="K33:L33"/>
    <mergeCell ref="K34:L34"/>
    <mergeCell ref="M33:N33"/>
    <mergeCell ref="M34:N34"/>
    <mergeCell ref="H44:I44"/>
    <mergeCell ref="K35:L35"/>
    <mergeCell ref="K36:L36"/>
    <mergeCell ref="B31:G31"/>
    <mergeCell ref="K38:L38"/>
    <mergeCell ref="K39:L39"/>
    <mergeCell ref="M38:N38"/>
    <mergeCell ref="M39:N39"/>
    <mergeCell ref="E39:F39"/>
    <mergeCell ref="C32:D32"/>
    <mergeCell ref="C33:D33"/>
    <mergeCell ref="C34:D34"/>
    <mergeCell ref="C35:D35"/>
    <mergeCell ref="C36:D36"/>
    <mergeCell ref="C37:D37"/>
    <mergeCell ref="C38:D38"/>
    <mergeCell ref="C39:D39"/>
    <mergeCell ref="E34:F34"/>
    <mergeCell ref="E35:F35"/>
    <mergeCell ref="K14:O14"/>
    <mergeCell ref="B18:C18"/>
    <mergeCell ref="B21:C21"/>
    <mergeCell ref="B3:C3"/>
    <mergeCell ref="A2:E2"/>
    <mergeCell ref="B15:C15"/>
    <mergeCell ref="B14:C14"/>
    <mergeCell ref="D14:J14"/>
    <mergeCell ref="D15:J17"/>
    <mergeCell ref="D18:J20"/>
    <mergeCell ref="D21:J23"/>
    <mergeCell ref="D24:J26"/>
    <mergeCell ref="B70:D70"/>
    <mergeCell ref="A31:A32"/>
    <mergeCell ref="A70:A71"/>
    <mergeCell ref="K15:O17"/>
    <mergeCell ref="K18:O20"/>
    <mergeCell ref="K21:O23"/>
    <mergeCell ref="K24:O26"/>
    <mergeCell ref="K27:O29"/>
    <mergeCell ref="D27:J29"/>
    <mergeCell ref="B24:C24"/>
    <mergeCell ref="B27:C27"/>
    <mergeCell ref="C41:D41"/>
    <mergeCell ref="C42:D42"/>
    <mergeCell ref="E32:F32"/>
    <mergeCell ref="E33:F33"/>
  </mergeCells>
  <conditionalFormatting sqref="J32">
    <cfRule type="cellIs" dxfId="1" priority="2" operator="equal">
      <formula>"""Natural Weapon"""</formula>
    </cfRule>
  </conditionalFormatting>
  <conditionalFormatting sqref="G71:G72">
    <cfRule type="cellIs" dxfId="0" priority="1" operator="equal">
      <formula>"""Natural Weapon"""</formula>
    </cfRule>
  </conditionalFormatting>
  <dataValidations count="2">
    <dataValidation type="list" allowBlank="1" showInputMessage="1" showErrorMessage="1" sqref="J31 G70" xr:uid="{00000000-0002-0000-0200-000000000000}">
      <formula1>$B$72:$B$78</formula1>
    </dataValidation>
    <dataValidation type="list" allowBlank="1" showInputMessage="1" showErrorMessage="1" sqref="J44" xr:uid="{00000000-0002-0000-0200-000001000000}">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6" r:id="rId4" name="Scroll Bar 6">
              <controlPr defaultSize="0" autoPict="0">
                <anchor moveWithCells="1">
                  <from>
                    <xdr:col>2</xdr:col>
                    <xdr:colOff>15240</xdr:colOff>
                    <xdr:row>47</xdr:row>
                    <xdr:rowOff>7620</xdr:rowOff>
                  </from>
                  <to>
                    <xdr:col>4</xdr:col>
                    <xdr:colOff>693420</xdr:colOff>
                    <xdr:row>48</xdr:row>
                    <xdr:rowOff>7620</xdr:rowOff>
                  </to>
                </anchor>
              </controlPr>
            </control>
          </mc:Choice>
        </mc:AlternateContent>
        <mc:AlternateContent xmlns:mc="http://schemas.openxmlformats.org/markup-compatibility/2006">
          <mc:Choice Requires="x14">
            <control shapeId="5127" r:id="rId5" name="Scroll Bar 7">
              <controlPr defaultSize="0" autoPict="0">
                <anchor moveWithCells="1">
                  <from>
                    <xdr:col>2</xdr:col>
                    <xdr:colOff>15240</xdr:colOff>
                    <xdr:row>49</xdr:row>
                    <xdr:rowOff>7620</xdr:rowOff>
                  </from>
                  <to>
                    <xdr:col>4</xdr:col>
                    <xdr:colOff>693420</xdr:colOff>
                    <xdr:row>50</xdr:row>
                    <xdr:rowOff>7620</xdr:rowOff>
                  </to>
                </anchor>
              </controlPr>
            </control>
          </mc:Choice>
        </mc:AlternateContent>
        <mc:AlternateContent xmlns:mc="http://schemas.openxmlformats.org/markup-compatibility/2006">
          <mc:Choice Requires="x14">
            <control shapeId="5128" r:id="rId6" name="Scroll Bar 8">
              <controlPr defaultSize="0" autoPict="0">
                <anchor moveWithCells="1">
                  <from>
                    <xdr:col>2</xdr:col>
                    <xdr:colOff>7620</xdr:colOff>
                    <xdr:row>50</xdr:row>
                    <xdr:rowOff>7620</xdr:rowOff>
                  </from>
                  <to>
                    <xdr:col>4</xdr:col>
                    <xdr:colOff>685800</xdr:colOff>
                    <xdr:row>51</xdr:row>
                    <xdr:rowOff>0</xdr:rowOff>
                  </to>
                </anchor>
              </controlPr>
            </control>
          </mc:Choice>
        </mc:AlternateContent>
        <mc:AlternateContent xmlns:mc="http://schemas.openxmlformats.org/markup-compatibility/2006">
          <mc:Choice Requires="x14">
            <control shapeId="5129" r:id="rId7" name="Scroll Bar 9">
              <controlPr defaultSize="0" autoPict="0">
                <anchor moveWithCells="1">
                  <from>
                    <xdr:col>2</xdr:col>
                    <xdr:colOff>15240</xdr:colOff>
                    <xdr:row>48</xdr:row>
                    <xdr:rowOff>7620</xdr:rowOff>
                  </from>
                  <to>
                    <xdr:col>4</xdr:col>
                    <xdr:colOff>693420</xdr:colOff>
                    <xdr:row>49</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6">
        <x14:dataValidation type="list" allowBlank="1" showInputMessage="1" showErrorMessage="1" xr:uid="{00000000-0002-0000-0200-000002000000}">
          <x14:formula1>
            <xm:f>'XP by CR'!$A$2:$A$35</xm:f>
          </x14:formula1>
          <xm:sqref>B8:B9</xm:sqref>
        </x14:dataValidation>
        <x14:dataValidation type="list" allowBlank="1" showInputMessage="1" showErrorMessage="1" xr:uid="{00000000-0002-0000-0200-000003000000}">
          <x14:formula1>
            <xm:f>'Hit Dice by Size'!$A$2:$A$7</xm:f>
          </x14:formula1>
          <xm:sqref>D9 C8</xm:sqref>
        </x14:dataValidation>
        <x14:dataValidation type="list" allowBlank="1" showInputMessage="1" showErrorMessage="1" xr:uid="{00000000-0002-0000-0200-000004000000}">
          <x14:formula1>
            <xm:f>'Ability Mod by Score'!$A$2:$A$31</xm:f>
          </x14:formula1>
          <xm:sqref>B11:G11</xm:sqref>
        </x14:dataValidation>
        <x14:dataValidation type="list" showInputMessage="1" showErrorMessage="1" xr:uid="{00000000-0002-0000-0200-000005000000}">
          <x14:formula1>
            <xm:f>Features!$A$2:$A$92</xm:f>
          </x14:formula1>
          <xm:sqref>B15 B18 B21 B24 B27</xm:sqref>
        </x14:dataValidation>
        <x14:dataValidation type="list" allowBlank="1" showInputMessage="1" showErrorMessage="1" xr:uid="{00000000-0002-0000-0200-000006000000}">
          <x14:formula1>
            <xm:f>'Weapons and Damage'!$A$2:$A$39</xm:f>
          </x14:formula1>
          <xm:sqref>J32</xm:sqref>
        </x14:dataValidation>
        <x14:dataValidation type="list" allowBlank="1" showInputMessage="1" showErrorMessage="1" xr:uid="{00000000-0002-0000-0200-000007000000}">
          <x14:formula1>
            <xm:f>'Armor and HP'!$G$2:$G$3</xm:f>
          </x14:formula1>
          <xm:sqref>G72</xm:sqref>
        </x14:dataValidation>
        <x14:dataValidation type="list" allowBlank="1" showInputMessage="1" showErrorMessage="1" xr:uid="{00000000-0002-0000-0200-000008000000}">
          <x14:formula1>
            <xm:f>'Armor and HP'!$A$2:$A$15</xm:f>
          </x14:formula1>
          <xm:sqref>G71</xm:sqref>
        </x14:dataValidation>
        <x14:dataValidation type="list" allowBlank="1" showInputMessage="1" showErrorMessage="1" xr:uid="{00000000-0002-0000-0200-000009000000}">
          <x14:formula1>
            <xm:f>'Effec HP Based on Res. and Imm.'!$I$6:$I$18</xm:f>
          </x14:formula1>
          <xm:sqref>L48:L51</xm:sqref>
        </x14:dataValidation>
        <x14:dataValidation type="list" allowBlank="1" showInputMessage="1" showErrorMessage="1" xr:uid="{00000000-0002-0000-0200-00000A000000}">
          <x14:formula1>
            <xm:f>'Effec HP Based on Res. and Imm.'!$I$5:$I$18</xm:f>
          </x14:formula1>
          <xm:sqref>B82:B85</xm:sqref>
        </x14:dataValidation>
        <x14:dataValidation type="list" allowBlank="1" showInputMessage="1" showErrorMessage="1" xr:uid="{00000000-0002-0000-0200-00000B000000}">
          <x14:formula1>
            <xm:f>'Effec HP Based on Res. and Imm.'!$K$5:$K$7</xm:f>
          </x14:formula1>
          <xm:sqref>C82:C85</xm:sqref>
        </x14:dataValidation>
        <x14:dataValidation type="list" allowBlank="1" showInputMessage="1" showErrorMessage="1" xr:uid="{00000000-0002-0000-0200-00000C000000}">
          <x14:formula1>
            <xm:f>Skills!$D$2:$D$3</xm:f>
          </x14:formula1>
          <xm:sqref>B88</xm:sqref>
        </x14:dataValidation>
        <x14:dataValidation type="list" allowBlank="1" showInputMessage="1" showErrorMessage="1" xr:uid="{00000000-0002-0000-0200-00000D000000}">
          <x14:formula1>
            <xm:f>Skills!$E$2:$E$5</xm:f>
          </x14:formula1>
          <xm:sqref>C88:C90</xm:sqref>
        </x14:dataValidation>
        <x14:dataValidation type="list" allowBlank="1" showInputMessage="1" showErrorMessage="1" xr:uid="{00000000-0002-0000-0200-00000E000000}">
          <x14:formula1>
            <xm:f>Skills!$F$2:$F$7</xm:f>
          </x14:formula1>
          <xm:sqref>D88:D92</xm:sqref>
        </x14:dataValidation>
        <x14:dataValidation type="list" allowBlank="1" showInputMessage="1" showErrorMessage="1" xr:uid="{00000000-0002-0000-0200-00000F000000}">
          <x14:formula1>
            <xm:f>Skills!$G$2:$G$7</xm:f>
          </x14:formula1>
          <xm:sqref>E88:E92</xm:sqref>
        </x14:dataValidation>
        <x14:dataValidation type="list" allowBlank="1" showInputMessage="1" showErrorMessage="1" xr:uid="{00000000-0002-0000-0200-000010000000}">
          <x14:formula1>
            <xm:f>Skills!$H$2:$H$6</xm:f>
          </x14:formula1>
          <xm:sqref>F88:F91</xm:sqref>
        </x14:dataValidation>
        <x14:dataValidation type="list" allowBlank="1" showInputMessage="1" showErrorMessage="1" xr:uid="{00000000-0002-0000-0200-000011000000}">
          <x14:formula1>
            <xm:f>Languages!$A$2:$A$18</xm:f>
          </x14:formula1>
          <xm:sqref>B110:B115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19"/>
  <sheetViews>
    <sheetView workbookViewId="0">
      <selection activeCell="B21" sqref="B21"/>
    </sheetView>
  </sheetViews>
  <sheetFormatPr defaultRowHeight="14.4"/>
  <cols>
    <col min="1" max="1" width="13.33203125" style="13" bestFit="1" customWidth="1"/>
    <col min="2" max="2" width="23.5546875" style="13" bestFit="1" customWidth="1"/>
    <col min="3" max="3" width="10.44140625" style="13" bestFit="1" customWidth="1"/>
  </cols>
  <sheetData>
    <row r="1" spans="1:4">
      <c r="A1" s="155" t="s">
        <v>613</v>
      </c>
      <c r="B1" s="155" t="s">
        <v>614</v>
      </c>
      <c r="C1" s="155" t="s">
        <v>615</v>
      </c>
    </row>
    <row r="2" spans="1:4" s="157" customFormat="1">
      <c r="A2" s="156"/>
      <c r="B2" s="156"/>
      <c r="C2" s="156"/>
    </row>
    <row r="3" spans="1:4" s="8" customFormat="1">
      <c r="A3" s="154" t="s">
        <v>629</v>
      </c>
      <c r="B3" s="154" t="s">
        <v>630</v>
      </c>
      <c r="C3" s="154" t="s">
        <v>631</v>
      </c>
    </row>
    <row r="4" spans="1:4">
      <c r="A4" s="154" t="s">
        <v>518</v>
      </c>
      <c r="B4" s="154" t="s">
        <v>632</v>
      </c>
      <c r="C4" s="154" t="s">
        <v>518</v>
      </c>
      <c r="D4" s="8"/>
    </row>
    <row r="5" spans="1:4">
      <c r="A5" s="154" t="s">
        <v>616</v>
      </c>
      <c r="B5" s="154" t="s">
        <v>617</v>
      </c>
      <c r="C5" s="154" t="s">
        <v>616</v>
      </c>
      <c r="D5" s="8"/>
    </row>
    <row r="6" spans="1:4">
      <c r="A6" s="154" t="s">
        <v>635</v>
      </c>
      <c r="B6" s="154" t="s">
        <v>636</v>
      </c>
      <c r="C6" s="154" t="s">
        <v>637</v>
      </c>
      <c r="D6" s="8"/>
    </row>
    <row r="7" spans="1:4">
      <c r="A7" s="154" t="s">
        <v>633</v>
      </c>
      <c r="B7" s="154" t="s">
        <v>634</v>
      </c>
      <c r="C7" s="154" t="s">
        <v>633</v>
      </c>
      <c r="D7" s="8"/>
    </row>
    <row r="8" spans="1:4">
      <c r="A8" s="154" t="s">
        <v>618</v>
      </c>
      <c r="B8" s="154" t="s">
        <v>619</v>
      </c>
      <c r="C8" s="154" t="s">
        <v>618</v>
      </c>
      <c r="D8" s="8"/>
    </row>
    <row r="9" spans="1:4">
      <c r="A9" s="154" t="s">
        <v>620</v>
      </c>
      <c r="B9" s="154" t="s">
        <v>621</v>
      </c>
      <c r="C9" s="154" t="s">
        <v>620</v>
      </c>
      <c r="D9" s="8"/>
    </row>
    <row r="10" spans="1:4">
      <c r="A10" s="154" t="s">
        <v>517</v>
      </c>
      <c r="B10" s="154" t="s">
        <v>622</v>
      </c>
      <c r="C10" s="154" t="s">
        <v>618</v>
      </c>
      <c r="D10" s="8"/>
    </row>
    <row r="11" spans="1:4">
      <c r="A11" s="154" t="s">
        <v>623</v>
      </c>
      <c r="B11" s="154" t="s">
        <v>624</v>
      </c>
      <c r="C11" s="154" t="s">
        <v>618</v>
      </c>
      <c r="D11" s="8"/>
    </row>
    <row r="12" spans="1:4">
      <c r="A12" s="154" t="s">
        <v>213</v>
      </c>
      <c r="B12" s="154" t="s">
        <v>625</v>
      </c>
      <c r="C12" s="154" t="s">
        <v>618</v>
      </c>
      <c r="D12" s="8"/>
    </row>
    <row r="13" spans="1:4">
      <c r="A13" s="154" t="s">
        <v>626</v>
      </c>
      <c r="B13" s="154" t="s">
        <v>627</v>
      </c>
      <c r="C13" s="154" t="s">
        <v>616</v>
      </c>
      <c r="D13" s="8"/>
    </row>
    <row r="14" spans="1:4">
      <c r="A14" s="154" t="s">
        <v>631</v>
      </c>
      <c r="B14" s="154" t="s">
        <v>638</v>
      </c>
      <c r="C14" s="154" t="s">
        <v>631</v>
      </c>
      <c r="D14" s="8"/>
    </row>
    <row r="15" spans="1:4">
      <c r="A15" s="154" t="s">
        <v>171</v>
      </c>
      <c r="B15" s="154" t="s">
        <v>628</v>
      </c>
      <c r="C15" s="154" t="s">
        <v>618</v>
      </c>
      <c r="D15" s="8"/>
    </row>
    <row r="16" spans="1:4">
      <c r="A16" s="154" t="s">
        <v>639</v>
      </c>
      <c r="B16" s="154" t="s">
        <v>640</v>
      </c>
      <c r="C16" s="154" t="s">
        <v>618</v>
      </c>
      <c r="D16" s="8"/>
    </row>
    <row r="17" spans="1:4">
      <c r="A17" s="154" t="s">
        <v>641</v>
      </c>
      <c r="B17" s="154" t="s">
        <v>642</v>
      </c>
      <c r="C17" s="154" t="s">
        <v>620</v>
      </c>
      <c r="D17" s="8"/>
    </row>
    <row r="18" spans="1:4">
      <c r="A18" s="154" t="s">
        <v>643</v>
      </c>
      <c r="B18" s="21" t="s">
        <v>660</v>
      </c>
      <c r="C18" s="21" t="s">
        <v>661</v>
      </c>
      <c r="D18" s="8"/>
    </row>
    <row r="19" spans="1:4">
      <c r="A19" s="156"/>
      <c r="B19" s="156"/>
      <c r="C19" s="156"/>
    </row>
  </sheetData>
  <autoFilter ref="A1:C24" xr:uid="{00000000-0009-0000-0000-000003000000}">
    <sortState ref="A2:C24">
      <sortCondition ref="A1:A24"/>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26"/>
  <sheetViews>
    <sheetView workbookViewId="0">
      <selection activeCell="B26" sqref="B9:B26"/>
    </sheetView>
  </sheetViews>
  <sheetFormatPr defaultRowHeight="14.4"/>
  <cols>
    <col min="1" max="1" width="10.33203125" style="14" bestFit="1" customWidth="1"/>
    <col min="2" max="2" width="8.21875" style="14" bestFit="1" customWidth="1"/>
    <col min="3" max="3" width="8.88671875" style="14"/>
    <col min="4" max="4" width="11.5546875" style="14" bestFit="1" customWidth="1"/>
    <col min="5" max="5" width="16.88671875" style="14" bestFit="1" customWidth="1"/>
    <col min="6" max="6" width="15.109375" style="14" bestFit="1" customWidth="1"/>
    <col min="7" max="7" width="17.77734375" style="18" bestFit="1" customWidth="1"/>
    <col min="8" max="8" width="15.21875" style="14" bestFit="1" customWidth="1"/>
    <col min="9" max="16384" width="8.88671875" style="14"/>
  </cols>
  <sheetData>
    <row r="1" spans="1:8">
      <c r="A1" s="144" t="s">
        <v>604</v>
      </c>
      <c r="B1" s="144" t="s">
        <v>481</v>
      </c>
      <c r="D1" s="148" t="s">
        <v>603</v>
      </c>
      <c r="E1" s="148" t="s">
        <v>599</v>
      </c>
      <c r="F1" s="148" t="s">
        <v>600</v>
      </c>
      <c r="G1" s="148" t="s">
        <v>601</v>
      </c>
      <c r="H1" s="148" t="s">
        <v>602</v>
      </c>
    </row>
    <row r="2" spans="1:8">
      <c r="G2" s="14"/>
    </row>
    <row r="3" spans="1:8">
      <c r="A3" s="18" t="s">
        <v>603</v>
      </c>
      <c r="B3" s="147">
        <f>'Modified WS'!B12+'Modified WS'!$F$1</f>
        <v>2</v>
      </c>
      <c r="D3" s="18" t="str">
        <f>"Athletics (+"&amp;B3&amp;")"</f>
        <v>Athletics (+2)</v>
      </c>
      <c r="E3" s="18" t="str">
        <f>"Acrobatics (+"&amp;$B$4&amp;")"</f>
        <v>Acrobatics (+4)</v>
      </c>
      <c r="F3" s="18" t="str">
        <f>"Arcana (+"&amp;B5&amp;")"</f>
        <v>Arcana (+6)</v>
      </c>
      <c r="G3" s="18" t="str">
        <f>"Animal Handling (+"&amp;B5&amp;")"</f>
        <v>Animal Handling (+6)</v>
      </c>
      <c r="H3" s="18" t="str">
        <f>"Deception (+"&amp;B5&amp;")"</f>
        <v>Deception (+6)</v>
      </c>
    </row>
    <row r="4" spans="1:8">
      <c r="A4" s="18" t="s">
        <v>599</v>
      </c>
      <c r="B4" s="147">
        <f>'Modified WS'!$C$12+'Modified WS'!$F$1</f>
        <v>4</v>
      </c>
      <c r="E4" s="18" t="str">
        <f>"Sleight of Hand (+"&amp;$B$4&amp;")"</f>
        <v>Sleight of Hand (+4)</v>
      </c>
      <c r="F4" s="18" t="str">
        <f>"History (+"&amp;B5&amp;")"</f>
        <v>History (+6)</v>
      </c>
      <c r="G4" s="18" t="str">
        <f>"Insight (+"&amp;B5&amp;")"</f>
        <v>Insight (+6)</v>
      </c>
      <c r="H4" s="18" t="str">
        <f>"Intimidation (+"&amp;B5&amp;")"</f>
        <v>Intimidation (+6)</v>
      </c>
    </row>
    <row r="5" spans="1:8">
      <c r="A5" s="18" t="s">
        <v>600</v>
      </c>
      <c r="B5" s="147">
        <f>'Modified WS'!$E$12+'Modified WS'!$F$1</f>
        <v>6</v>
      </c>
      <c r="E5" s="18" t="str">
        <f>"Stealth (+"&amp;$B$4&amp;")"</f>
        <v>Stealth (+4)</v>
      </c>
      <c r="F5" s="18" t="str">
        <f>"Investigation (+"&amp;B5&amp;")"</f>
        <v>Investigation (+6)</v>
      </c>
      <c r="G5" s="18" t="str">
        <f>"Medicine (+"&amp;B5&amp;")"</f>
        <v>Medicine (+6)</v>
      </c>
      <c r="H5" s="18" t="str">
        <f>"Performance (+"&amp;B5&amp;")"</f>
        <v>Performance (+6)</v>
      </c>
    </row>
    <row r="6" spans="1:8">
      <c r="A6" s="18" t="s">
        <v>601</v>
      </c>
      <c r="B6" s="147">
        <f>'Modified WS'!$F$12+'Modified WS'!$F$1</f>
        <v>4</v>
      </c>
      <c r="F6" s="18" t="str">
        <f>"Nature (+"&amp;B5&amp;")"</f>
        <v>Nature (+6)</v>
      </c>
      <c r="G6" s="18" t="str">
        <f>"Perception (+"&amp;B5&amp;")"</f>
        <v>Perception (+6)</v>
      </c>
      <c r="H6" s="18" t="str">
        <f>"Persuasion (+"&amp;B5&amp;")"</f>
        <v>Persuasion (+6)</v>
      </c>
    </row>
    <row r="7" spans="1:8">
      <c r="A7" s="18" t="s">
        <v>602</v>
      </c>
      <c r="B7" s="147">
        <f>'Modified WS'!$G$12+'Modified WS'!$F$1</f>
        <v>4</v>
      </c>
      <c r="F7" s="18" t="str">
        <f>"Religion (+"&amp;B5&amp;")"</f>
        <v>Religion (+6)</v>
      </c>
      <c r="G7" s="18" t="str">
        <f>"Survival (+"&amp;B5&amp;")"</f>
        <v>Survival (+6)</v>
      </c>
    </row>
    <row r="8" spans="1:8">
      <c r="A8"/>
      <c r="B8"/>
    </row>
    <row r="9" spans="1:8">
      <c r="A9" t="s">
        <v>683</v>
      </c>
      <c r="B9" s="14" t="str">
        <f>"('Strength','"&amp;A9&amp;"'),"</f>
        <v>('Strength','Athletics '),</v>
      </c>
    </row>
    <row r="10" spans="1:8">
      <c r="A10" t="s">
        <v>684</v>
      </c>
      <c r="B10" s="14" t="str">
        <f>"('Dexterity','"&amp;A10&amp;"'),"</f>
        <v>('Dexterity','Acrobatics '),</v>
      </c>
    </row>
    <row r="11" spans="1:8">
      <c r="A11" t="s">
        <v>685</v>
      </c>
      <c r="B11" s="14" t="str">
        <f>"('Dexterity','"&amp;A11&amp;"'),"</f>
        <v>('Dexterity','Sleight of Hand '),</v>
      </c>
    </row>
    <row r="12" spans="1:8">
      <c r="A12" t="s">
        <v>686</v>
      </c>
      <c r="B12" s="14" t="str">
        <f>"('Dexterity','"&amp;A12&amp;"'),"</f>
        <v>('Dexterity','Stealth '),</v>
      </c>
    </row>
    <row r="13" spans="1:8">
      <c r="A13" t="s">
        <v>687</v>
      </c>
      <c r="B13" s="14" t="str">
        <f>"('Intelligence','"&amp;A13&amp;"'),"</f>
        <v>('Intelligence','Arcana '),</v>
      </c>
    </row>
    <row r="14" spans="1:8">
      <c r="A14" t="s">
        <v>688</v>
      </c>
      <c r="B14" s="14" t="str">
        <f>"('Intelligence','"&amp;A14&amp;"'),"</f>
        <v>('Intelligence','History '),</v>
      </c>
    </row>
    <row r="15" spans="1:8">
      <c r="A15" t="s">
        <v>689</v>
      </c>
      <c r="B15" s="14" t="str">
        <f>"('Intelligence','"&amp;A15&amp;"'),"</f>
        <v>('Intelligence','Investigation '),</v>
      </c>
    </row>
    <row r="16" spans="1:8">
      <c r="A16" t="s">
        <v>690</v>
      </c>
      <c r="B16" s="14" t="str">
        <f>"('Intelligence','"&amp;A16&amp;"'),"</f>
        <v>('Intelligence','Nature '),</v>
      </c>
    </row>
    <row r="17" spans="1:2">
      <c r="A17" t="s">
        <v>691</v>
      </c>
      <c r="B17" s="14" t="str">
        <f>"('Intelligence','"&amp;A17&amp;"'),"</f>
        <v>('Intelligence','Religion '),</v>
      </c>
    </row>
    <row r="18" spans="1:2">
      <c r="A18" t="s">
        <v>692</v>
      </c>
      <c r="B18" s="14" t="str">
        <f>"('Wisdom','"&amp;A18&amp;"'),"</f>
        <v>('Wisdom','Animal Handling '),</v>
      </c>
    </row>
    <row r="19" spans="1:2">
      <c r="A19" t="s">
        <v>693</v>
      </c>
      <c r="B19" s="14" t="str">
        <f>"('Wisdom','"&amp;A19&amp;"'),"</f>
        <v>('Wisdom','Insight '),</v>
      </c>
    </row>
    <row r="20" spans="1:2">
      <c r="A20" t="s">
        <v>694</v>
      </c>
      <c r="B20" s="14" t="str">
        <f>"('Wisdom','"&amp;A20&amp;"'),"</f>
        <v>('Wisdom','Medicine '),</v>
      </c>
    </row>
    <row r="21" spans="1:2">
      <c r="A21" t="s">
        <v>695</v>
      </c>
      <c r="B21" s="14" t="str">
        <f>"('Wisdom','"&amp;A21&amp;"'),"</f>
        <v>('Wisdom','Perception '),</v>
      </c>
    </row>
    <row r="22" spans="1:2">
      <c r="A22" t="s">
        <v>696</v>
      </c>
      <c r="B22" s="14" t="str">
        <f>"('Wisdom','"&amp;A22&amp;"'),"</f>
        <v>('Wisdom','Survival '),</v>
      </c>
    </row>
    <row r="23" spans="1:2">
      <c r="A23" t="s">
        <v>697</v>
      </c>
      <c r="B23" s="14" t="str">
        <f>"('Charisma','"&amp;A23&amp;"'),"</f>
        <v>('Charisma','Deception '),</v>
      </c>
    </row>
    <row r="24" spans="1:2">
      <c r="A24" t="s">
        <v>698</v>
      </c>
      <c r="B24" s="14" t="str">
        <f>"('Charisma','"&amp;A24&amp;"'),"</f>
        <v>('Charisma','Intimidation '),</v>
      </c>
    </row>
    <row r="25" spans="1:2">
      <c r="A25" s="14" t="s">
        <v>699</v>
      </c>
      <c r="B25" s="14" t="str">
        <f>"('Charisma','"&amp;A25&amp;"'),"</f>
        <v>('Charisma','Performance '),</v>
      </c>
    </row>
    <row r="26" spans="1:2">
      <c r="A26" s="14" t="s">
        <v>700</v>
      </c>
      <c r="B26" s="14" t="str">
        <f>"('Charisma','"&amp;A26&amp;"'),"</f>
        <v>('Charisma','Persuasion '),</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34"/>
  <sheetViews>
    <sheetView workbookViewId="0">
      <selection activeCell="H9" sqref="H9"/>
    </sheetView>
  </sheetViews>
  <sheetFormatPr defaultRowHeight="14.4"/>
  <cols>
    <col min="1" max="1" width="11.77734375" bestFit="1" customWidth="1"/>
    <col min="2" max="2" width="7.33203125" bestFit="1" customWidth="1"/>
    <col min="3" max="3" width="17" bestFit="1" customWidth="1"/>
    <col min="4" max="4" width="17.44140625" bestFit="1" customWidth="1"/>
    <col min="5" max="5" width="20.33203125" bestFit="1" customWidth="1"/>
  </cols>
  <sheetData>
    <row r="1" spans="1:6">
      <c r="A1" s="2" t="s">
        <v>244</v>
      </c>
      <c r="B1" s="2" t="s">
        <v>245</v>
      </c>
      <c r="C1" s="2" t="s">
        <v>246</v>
      </c>
      <c r="F1" s="2" t="s">
        <v>352</v>
      </c>
    </row>
    <row r="2" spans="1:6">
      <c r="A2" t="s">
        <v>247</v>
      </c>
      <c r="B2" t="s">
        <v>253</v>
      </c>
      <c r="C2">
        <v>2.5</v>
      </c>
      <c r="D2" t="str">
        <f>"('"&amp;A2&amp;"','"&amp;B2&amp;"'),"</f>
        <v>('Tiny','d4'),</v>
      </c>
      <c r="E2" s="14" t="s">
        <v>592</v>
      </c>
      <c r="F2" s="109">
        <f>'Modified WS'!H80</f>
        <v>108</v>
      </c>
    </row>
    <row r="3" spans="1:6">
      <c r="A3" t="s">
        <v>248</v>
      </c>
      <c r="B3" t="s">
        <v>254</v>
      </c>
      <c r="C3">
        <v>3.5</v>
      </c>
      <c r="D3" t="str">
        <f t="shared" ref="D3:D7" si="0">"('"&amp;A3&amp;"','"&amp;B3&amp;"'),"</f>
        <v>('Small','d6'),</v>
      </c>
      <c r="E3" t="s">
        <v>353</v>
      </c>
      <c r="F3" t="str">
        <f>'Modified WS'!C8</f>
        <v>Large</v>
      </c>
    </row>
    <row r="4" spans="1:6">
      <c r="A4" t="s">
        <v>249</v>
      </c>
      <c r="B4" t="s">
        <v>255</v>
      </c>
      <c r="C4">
        <v>4.5</v>
      </c>
      <c r="D4" t="str">
        <f t="shared" si="0"/>
        <v>('Medium','d8'),</v>
      </c>
      <c r="E4" t="s">
        <v>245</v>
      </c>
      <c r="F4" t="str">
        <f>VLOOKUP(F3,A:B,2,FALSE)</f>
        <v>d10</v>
      </c>
    </row>
    <row r="5" spans="1:6">
      <c r="A5" t="s">
        <v>250</v>
      </c>
      <c r="B5" t="s">
        <v>256</v>
      </c>
      <c r="C5">
        <v>5.5</v>
      </c>
      <c r="D5" t="str">
        <f t="shared" si="0"/>
        <v>('Large','d10'),</v>
      </c>
      <c r="E5" t="s">
        <v>354</v>
      </c>
      <c r="F5">
        <f>VLOOKUP(F3, A:C,3,  FALSE)</f>
        <v>5.5</v>
      </c>
    </row>
    <row r="6" spans="1:6">
      <c r="A6" t="s">
        <v>251</v>
      </c>
      <c r="B6" t="s">
        <v>257</v>
      </c>
      <c r="C6">
        <v>6.6</v>
      </c>
      <c r="D6" t="str">
        <f t="shared" si="0"/>
        <v>('Huge','d12'),</v>
      </c>
      <c r="E6" t="s">
        <v>357</v>
      </c>
      <c r="F6">
        <f>'Modified WS'!D12</f>
        <v>1</v>
      </c>
    </row>
    <row r="7" spans="1:6">
      <c r="A7" t="s">
        <v>252</v>
      </c>
      <c r="B7" t="s">
        <v>258</v>
      </c>
      <c r="C7">
        <v>10.5</v>
      </c>
      <c r="D7" t="str">
        <f t="shared" si="0"/>
        <v>('Gargantuan','d20'),</v>
      </c>
      <c r="E7" t="s">
        <v>359</v>
      </c>
      <c r="F7">
        <f>ROUND(F2/(F5+F6),0)</f>
        <v>17</v>
      </c>
    </row>
    <row r="8" spans="1:6">
      <c r="E8" t="s">
        <v>358</v>
      </c>
      <c r="F8">
        <f>ROUNDDOWN((F5*F7)+(F6*F7), 0)</f>
        <v>110</v>
      </c>
    </row>
    <row r="34" spans="2:2">
      <c r="B34" t="e">
        <f>'Hit Dice by Size'!F7&amp;" "&amp;'Hit Dice by Size'!E5:F8</f>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E183"/>
  <sheetViews>
    <sheetView workbookViewId="0">
      <selection activeCell="C116" sqref="C116"/>
    </sheetView>
  </sheetViews>
  <sheetFormatPr defaultRowHeight="14.4"/>
  <cols>
    <col min="1" max="1" width="21.109375" bestFit="1" customWidth="1"/>
    <col min="2" max="2" width="18.44140625" hidden="1" customWidth="1"/>
    <col min="3" max="4" width="41.6640625" customWidth="1"/>
  </cols>
  <sheetData>
    <row r="1" spans="1:5">
      <c r="A1" s="2" t="s">
        <v>79</v>
      </c>
      <c r="B1" s="2" t="s">
        <v>80</v>
      </c>
      <c r="C1" s="2" t="s">
        <v>81</v>
      </c>
      <c r="D1" s="2" t="s">
        <v>277</v>
      </c>
    </row>
    <row r="2" spans="1:5" s="8" customFormat="1">
      <c r="A2" s="30"/>
      <c r="B2" s="30"/>
      <c r="C2" s="30"/>
      <c r="D2" s="30"/>
    </row>
    <row r="3" spans="1:5">
      <c r="A3" t="s">
        <v>82</v>
      </c>
      <c r="B3" t="s">
        <v>171</v>
      </c>
      <c r="C3" t="s">
        <v>703</v>
      </c>
      <c r="D3" t="s">
        <v>280</v>
      </c>
      <c r="E3" t="str">
        <f>"(newid(),'"&amp;A3&amp;"','"&amp;C3&amp;"','"&amp;D3&amp;"'),"</f>
        <v>(newid(),'Aggressive','Increase the monster''s effective per-round damage output by 2','As a bonus action, the monster can move up to its speed toward a hostile creature that it can see.'),</v>
      </c>
    </row>
    <row r="4" spans="1:5">
      <c r="A4" t="s">
        <v>350</v>
      </c>
      <c r="B4" t="s">
        <v>172</v>
      </c>
      <c r="C4" t="s">
        <v>704</v>
      </c>
      <c r="D4" t="s">
        <v>283</v>
      </c>
      <c r="E4" t="str">
        <f t="shared" ref="E4:E67" si="0">"(newid(),'"&amp;A4&amp;"','"&amp;C4&amp;"','"&amp;D4&amp;"'),"</f>
        <v>(newid(),'Ambusher','Increase the monster''s effective attack bonus by 1','The monster has advantage on attack rolls against any creature it has surprised.'),</v>
      </c>
    </row>
    <row r="5" spans="1:5">
      <c r="A5" t="s">
        <v>83</v>
      </c>
      <c r="B5" t="s">
        <v>173</v>
      </c>
      <c r="D5" t="s">
        <v>284</v>
      </c>
      <c r="E5" t="str">
        <f t="shared" si="0"/>
        <v>(newid(),'Amorphous','','The monster can move through a space as narrow as 1 inch wide without squeezing.'),</v>
      </c>
    </row>
    <row r="6" spans="1:5">
      <c r="A6" t="s">
        <v>84</v>
      </c>
      <c r="B6" t="s">
        <v>174</v>
      </c>
      <c r="C6" t="s">
        <v>705</v>
      </c>
      <c r="D6" t="s">
        <v>706</v>
      </c>
      <c r="E6" t="str">
        <f t="shared" si="0"/>
        <v>(newid(),'Angelic Weapons','Increase the monster''s effective per-round damage by the amount noted in the trait','The monster''s weapon attacks are magical. When the monster hits with any weapon, the weapon deals an extra amount of damage.'),</v>
      </c>
    </row>
    <row r="7" spans="1:5">
      <c r="A7" t="s">
        <v>141</v>
      </c>
      <c r="B7" t="s">
        <v>175</v>
      </c>
      <c r="D7" t="s">
        <v>707</v>
      </c>
      <c r="E7" t="str">
        <f t="shared" si="0"/>
        <v>(newid(),'Antimagic Susceptibility','','The monster is incapacitated while in the area of an anti-magic field. If targeted by dispel magic, the monster must succeed on a Constitution saving throw against the caster''s spell save DC or fall unconscious for 1 minute.'),</v>
      </c>
    </row>
    <row r="8" spans="1:5">
      <c r="A8" t="s">
        <v>85</v>
      </c>
      <c r="B8" t="s">
        <v>176</v>
      </c>
      <c r="C8" t="s">
        <v>708</v>
      </c>
      <c r="D8" t="s">
        <v>285</v>
      </c>
      <c r="E8" t="str">
        <f t="shared" si="0"/>
        <v>(newid(),'Avoidance','Increase the monster''s effective AC by 1','If the monster is subjected to an effect that allows it to make a saving throw to take only half damage, it instead takes no damage if it succeeds on the saving throw, and only half damage if it fails.'),</v>
      </c>
    </row>
    <row r="9" spans="1:5">
      <c r="A9" t="s">
        <v>86</v>
      </c>
      <c r="B9" t="s">
        <v>177</v>
      </c>
      <c r="D9" t="s">
        <v>286</v>
      </c>
      <c r="E9" t="str">
        <f t="shared" si="0"/>
        <v>(newid(),'Blind Senses','','The monster can sense without the usual equipment to do so.'),</v>
      </c>
    </row>
    <row r="10" spans="1:5">
      <c r="A10" t="s">
        <v>87</v>
      </c>
      <c r="B10" t="s">
        <v>178</v>
      </c>
      <c r="C10" t="s">
        <v>709</v>
      </c>
      <c r="D10" t="s">
        <v>710</v>
      </c>
      <c r="E10" t="str">
        <f t="shared" si="0"/>
        <v>(newid(),'Blood Frenzy','Increase the monster''s effective attack bonus by 4','The monster has advantage on melee attack rolls against any creature that doesn''t have all its hit points.'),</v>
      </c>
    </row>
    <row r="11" spans="1:5">
      <c r="A11" t="s">
        <v>88</v>
      </c>
      <c r="B11" t="s">
        <v>179</v>
      </c>
      <c r="C11" t="s">
        <v>239</v>
      </c>
      <c r="D11" t="s">
        <v>281</v>
      </c>
      <c r="E11" t="str">
        <f t="shared" si="0"/>
        <v>(newid(),'Breath Weapon','For the purpose of determining effective damage output, assume the breath weapon hits two targets and that each target fails its saving throw','Varies'),</v>
      </c>
    </row>
    <row r="12" spans="1:5">
      <c r="A12" t="s">
        <v>89</v>
      </c>
      <c r="B12" t="s">
        <v>180</v>
      </c>
      <c r="C12" t="s">
        <v>705</v>
      </c>
      <c r="D12" t="s">
        <v>287</v>
      </c>
      <c r="E12" t="str">
        <f t="shared" si="0"/>
        <v>(newid(),'Brute','Increase the monster''s effective per-round damage by the amount noted in the trait','A melee weapon deals one extra die of its damage when the monster hits with it.'),</v>
      </c>
    </row>
    <row r="13" spans="1:5">
      <c r="A13" t="s">
        <v>90</v>
      </c>
      <c r="B13" t="s">
        <v>181</v>
      </c>
      <c r="D13" t="s">
        <v>288</v>
      </c>
      <c r="E13" t="str">
        <f t="shared" si="0"/>
        <v>(newid(),'Chameleon Skin','','The monster has advantage on Dexterity (Stealth) checks made to hide'),</v>
      </c>
    </row>
    <row r="14" spans="1:5">
      <c r="A14" t="s">
        <v>142</v>
      </c>
      <c r="B14" t="s">
        <v>182</v>
      </c>
      <c r="D14" t="s">
        <v>711</v>
      </c>
      <c r="E14" t="str">
        <f t="shared" si="0"/>
        <v>(newid(),'Change Shape ','','The monster magically polymorphs into a humanoid or beast that has a challenge rating no higher than its own, or back into its true form. It reverts to its true form if it dies. Any equipment it is wearing or carrying is absorbed or borne by the new form (the monster''s choice). In a new form, the monster retains its alignment, hit points, Hit Dice, ability to speak, proficiencies, Legendary Resistance (if any), lair actions (if any), and Intelligence, Wisdom, and Charisma scores, as well as this action. Its statistics and capabilities are otherwise replaced by those of the new form, except any class features or legendary actions of that form.'),</v>
      </c>
    </row>
    <row r="15" spans="1:5">
      <c r="A15" t="s">
        <v>91</v>
      </c>
      <c r="B15" t="s">
        <v>183</v>
      </c>
      <c r="C15" t="s">
        <v>712</v>
      </c>
      <c r="D15" t="s">
        <v>289</v>
      </c>
      <c r="E15" t="str">
        <f t="shared" si="0"/>
        <v>(newid(),'Charge','Increase the monster''s damage on one attack by the amount noted in the trait','If the monster moves at least 30 feet straight toward a target and then hits it with a weapon attack on the same turn, the target takes an extra amount of damage.'),</v>
      </c>
    </row>
    <row r="16" spans="1:5">
      <c r="A16" t="s">
        <v>92</v>
      </c>
      <c r="B16" t="s">
        <v>184</v>
      </c>
      <c r="D16" t="s">
        <v>713</v>
      </c>
      <c r="E16" t="str">
        <f t="shared" si="0"/>
        <v>(newid(),'Charm','','The monster targets one humanoid it can see within 30 feet of it. If the target can see the monster, the target must succeed on a Wisdom saving throw against this magic or be charmed by the monster. The charmed target regards the monster as a trusted friend to be heeded and protected. Although the target isn''t under the monster''s control, it takes the monster''s requests or actions in the most favorable way it can, and it is a willing target for some attacks. Each time the monster or the monster''s companions do anything harmful to the target, it can repeat the saving throw, ending the effect on itself on a success. Otherwise, the effect lasts 24 hours or until the monster is destroyed , is on a different plane of existence than the target, or takes a bonus action to end the effect.'),</v>
      </c>
    </row>
    <row r="17" spans="1:5">
      <c r="A17" t="s">
        <v>93</v>
      </c>
      <c r="B17" t="s">
        <v>185</v>
      </c>
      <c r="C17" t="s">
        <v>708</v>
      </c>
      <c r="D17" t="s">
        <v>714</v>
      </c>
      <c r="E17" t="str">
        <f t="shared" si="0"/>
        <v>(newid(),'Constrict','Increase the monster''s effective AC by 1','Melee weapon attack, reach 5 ft., one creature the same size or smaller as the monster. The target is grappled if the monster isn''t already constricting a creature, and the target is restrained until this grapple ends.'),</v>
      </c>
    </row>
    <row r="18" spans="1:5">
      <c r="A18" t="s">
        <v>143</v>
      </c>
      <c r="B18" t="s">
        <v>186</v>
      </c>
      <c r="D18" t="s">
        <v>290</v>
      </c>
      <c r="E18" t="str">
        <f t="shared" si="0"/>
        <v>(newid(),'Damage Absorption','','Whenever the monster is subjected to elemental or other damage, it takes no damage and instead regains a number of hit poin ts equal to the damage damage dealt'),</v>
      </c>
    </row>
    <row r="19" spans="1:5">
      <c r="A19" t="s">
        <v>94</v>
      </c>
      <c r="B19" t="s">
        <v>291</v>
      </c>
      <c r="C19" t="s">
        <v>715</v>
      </c>
      <c r="D19" t="s">
        <v>292</v>
      </c>
      <c r="E19" t="str">
        <f t="shared" si="0"/>
        <v>(newid(),'Damage Transfer','Double the monster''s effective hit points. Add one-third of the monster''s hit points to its per-round damage','While attached to a creature, the monster takes only half the damage dealt to it (rounded down) and that creature takes the other half.'),</v>
      </c>
    </row>
    <row r="20" spans="1:5">
      <c r="A20" t="s">
        <v>95</v>
      </c>
      <c r="B20" t="s">
        <v>187</v>
      </c>
      <c r="C20" t="s">
        <v>716</v>
      </c>
      <c r="D20" t="s">
        <v>293</v>
      </c>
      <c r="E20" t="str">
        <f t="shared" si="0"/>
        <v>(newid(),'Death Burst','Increase the monster''s effective damage output for 1 round by the amount noted in the trait and assume it affects two creatures','When the monster dies, it explodes in a burst. Each creature within 10 feet of it must make a DC 11 Dexterity saving throw, taking damage on a failed save, or half as much damage on a successful one. '),</v>
      </c>
    </row>
    <row r="21" spans="1:5">
      <c r="A21" t="s">
        <v>96</v>
      </c>
      <c r="B21" t="s">
        <v>188</v>
      </c>
      <c r="D21" t="s">
        <v>717</v>
      </c>
      <c r="E21" t="str">
        <f t="shared" si="0"/>
        <v>(newid(),'Devil Sight','','Magical darkness doesn''t impede the darkvision .'),</v>
      </c>
    </row>
    <row r="22" spans="1:5">
      <c r="A22" t="s">
        <v>97</v>
      </c>
      <c r="B22" t="s">
        <v>189</v>
      </c>
      <c r="C22" t="s">
        <v>705</v>
      </c>
      <c r="D22" t="s">
        <v>294</v>
      </c>
      <c r="E22" t="str">
        <f t="shared" si="0"/>
        <v>(newid(),'Dive','Increase the monster''s effective per-round damage by the amount noted in the trait','If the monster is flying and dives at least 30 feet straight toward a target and then hits it with a melee weapon attack, the attack deals extra damage to the target.'),</v>
      </c>
    </row>
    <row r="23" spans="1:5">
      <c r="A23" t="s">
        <v>98</v>
      </c>
      <c r="B23" t="s">
        <v>190</v>
      </c>
      <c r="D23" t="s">
        <v>718</v>
      </c>
      <c r="E23" t="str">
        <f t="shared" si="0"/>
        <v>(newid(),'Echolocation','','Counts as blindsight, but the monster can''t use its blindsight while deafened.'),</v>
      </c>
    </row>
    <row r="24" spans="1:5">
      <c r="A24" t="s">
        <v>99</v>
      </c>
      <c r="B24" t="s">
        <v>191</v>
      </c>
      <c r="C24" t="s">
        <v>705</v>
      </c>
      <c r="D24" t="s">
        <v>295</v>
      </c>
      <c r="E24" t="str">
        <f t="shared" si="0"/>
        <v>(newid(),'Elemental Body','Increase the monster''s effective per-round damage by the amount noted in the trait','A creature that touchers the monster or hits it with a melee attack while within 5 feet of it takes damage.'),</v>
      </c>
    </row>
    <row r="25" spans="1:5">
      <c r="A25" t="s">
        <v>100</v>
      </c>
      <c r="B25" t="s">
        <v>193</v>
      </c>
      <c r="C25" t="s">
        <v>705</v>
      </c>
      <c r="D25" t="s">
        <v>296</v>
      </c>
      <c r="E25" t="str">
        <f t="shared" si="0"/>
        <v>(newid(),'Enlarge','Increase the monster''s effective per-round damage by the amount noted in the trait','Recharges after a Short or Long Rest. For 1 minute, the monster magically increases in size, along with anything it is wearing or carrying. While enlarged, the monster is Large, doubles its damage dice on Strength-based weapon attacks, and makes Strength checks and Strength saving throws with advantage. If the monster lacks the room to become Large, it attains the maximum size possible in the space available .'),</v>
      </c>
    </row>
    <row r="26" spans="1:5">
      <c r="A26" t="s">
        <v>101</v>
      </c>
      <c r="B26" t="s">
        <v>192</v>
      </c>
      <c r="D26" t="s">
        <v>719</v>
      </c>
      <c r="E26" t="str">
        <f t="shared" si="0"/>
        <v>(newid(),'Etherealness','','The monster enters the Ethereal Plane from the Material Plane, or vice versa. It is visible on the Material Plane while it is in the Border Ethereal, and viae versa, yet it can''t affect or be affected by anything on the other plane.'),</v>
      </c>
    </row>
    <row r="27" spans="1:5">
      <c r="A27" t="s">
        <v>144</v>
      </c>
      <c r="B27" t="s">
        <v>194</v>
      </c>
      <c r="D27" t="s">
        <v>297</v>
      </c>
      <c r="E27" t="str">
        <f t="shared" si="0"/>
        <v>(newid(),'False Appearance','','While the monster remains motion less, it is indistinguishable from an inanimate statue.'),</v>
      </c>
    </row>
    <row r="28" spans="1:5">
      <c r="A28" t="s">
        <v>102</v>
      </c>
      <c r="B28" t="s">
        <v>195</v>
      </c>
      <c r="D28" t="s">
        <v>720</v>
      </c>
      <c r="E28" t="str">
        <f t="shared" si="0"/>
        <v>(newid(),'Fey Ancestry','','The monster has advantage on saving throws against being charmed, and magic can''t put the monster to sleep'),</v>
      </c>
    </row>
    <row r="29" spans="1:5">
      <c r="A29" t="s">
        <v>103</v>
      </c>
      <c r="B29" t="s">
        <v>196</v>
      </c>
      <c r="C29" t="s">
        <v>721</v>
      </c>
      <c r="D29" t="s">
        <v>298</v>
      </c>
      <c r="E29" t="str">
        <f t="shared" si="0"/>
        <v>(newid(),'Fiendish Blessing','Apply the monster''s Charisma modifier to its actual AC','The AC of the monster includes its Charisma bonus'),</v>
      </c>
    </row>
    <row r="30" spans="1:5">
      <c r="A30" t="s">
        <v>104</v>
      </c>
      <c r="B30" t="s">
        <v>197</v>
      </c>
      <c r="D30" t="s">
        <v>722</v>
      </c>
      <c r="E30" t="str">
        <f t="shared" si="0"/>
        <v>(newid(),'Flyby','','The monster doesn''t provoke an opportunity attack when it flies out of an enemy''s reach.'),</v>
      </c>
    </row>
    <row r="31" spans="1:5">
      <c r="A31" t="s">
        <v>105</v>
      </c>
      <c r="B31" t="s">
        <v>179</v>
      </c>
      <c r="C31" t="s">
        <v>723</v>
      </c>
      <c r="D31" t="s">
        <v>724</v>
      </c>
      <c r="E31" t="str">
        <f t="shared" si="0"/>
        <v>(newid(),'Frightful Presence','Increase the monster''s effective hit points by 25% if the monster is meant to face characters of 10th level or higher','Each creature of the monster''s choice that is within 120 feet of the monster and aware of it must succeed on a DC 18 Wisdom saving throw or become frightened for 1 minute. A creature can repeat the saving throw at the end of each of its turns, ending the effect on itself on a success. If a creature''s saving throw is successful or the effect ends for it, the creature is immune to the monster''s Frightful Presence for the next 24 hours.'),</v>
      </c>
    </row>
    <row r="32" spans="1:5">
      <c r="A32" t="s">
        <v>106</v>
      </c>
      <c r="B32" t="s">
        <v>198</v>
      </c>
      <c r="D32" t="s">
        <v>299</v>
      </c>
      <c r="E32" t="str">
        <f t="shared" si="0"/>
        <v>(newid(),'Grappler','','The monster has advantage on attack rolls against any creature grappled by it.'),</v>
      </c>
    </row>
    <row r="33" spans="1:5">
      <c r="A33" t="s">
        <v>107</v>
      </c>
      <c r="B33" t="s">
        <v>199</v>
      </c>
      <c r="D33" t="s">
        <v>282</v>
      </c>
      <c r="E33" t="str">
        <f t="shared" si="0"/>
        <v>(newid(),'Hold Breath ','','The monster can hold its breath for 15 minutes'),</v>
      </c>
    </row>
    <row r="34" spans="1:5">
      <c r="A34" t="s">
        <v>108</v>
      </c>
      <c r="B34" t="s">
        <v>300</v>
      </c>
      <c r="C34" t="s">
        <v>723</v>
      </c>
      <c r="D34" t="s">
        <v>725</v>
      </c>
      <c r="E34" t="str">
        <f t="shared" si="0"/>
        <v>(newid(),'Horrifying Visage','Increase the monster''s effective hit points by 25% if the monster is meant to face characters of 10th level or higher','Each non-undead creature within 60 feet of the monster that can see her must succeed on a DC 13 Wisdom saving throw or be frightened for 1 minute. A frightened target can repeat the saving throw at the end of each of its turns, with disadvantage if the monster is within line of sight, ending the effect on itself on a success. If a target''s saving throw is successful or the effect ends for it, the target is immune to the monster''s Horrifying Visage for the next 24 hours.'),</v>
      </c>
    </row>
    <row r="35" spans="1:5">
      <c r="A35" t="s">
        <v>109</v>
      </c>
      <c r="B35" t="s">
        <v>200</v>
      </c>
      <c r="D35" t="s">
        <v>673</v>
      </c>
      <c r="E35" t="str">
        <f t="shared" si="0"/>
        <v>(newid(),'Illumination','','The monster emits either dim light in a 15-foot radius, or bright light in a 15-foot radius and dim light for an additionnal 15 feet. It can switch between the options as an action'),</v>
      </c>
    </row>
    <row r="36" spans="1:5">
      <c r="A36" t="s">
        <v>110</v>
      </c>
      <c r="B36" t="s">
        <v>201</v>
      </c>
      <c r="D36" t="s">
        <v>301</v>
      </c>
      <c r="E36" t="str">
        <f t="shared" si="0"/>
        <v>(newid(),'Illusory Appearance','','The monster covers itself and anything it is wearing or carrying with a magical illusion that makes her look like another creature of its general size and humanoid shape. The illusion ends if the hag takes a bonus action to end it or if it dies. The changes wrought by this effect fail to hold up to physical inspection. For example, the monster could appear to have smooth skin, but someone touching it would feel its rough flesh. Otherwise, a creature must take an action to visually inspect the illusion and succeed on a DC 20 Intelligence (Investigation) check to discern that the monster is disguised.'),</v>
      </c>
    </row>
    <row r="37" spans="1:5">
      <c r="A37" t="s">
        <v>111</v>
      </c>
      <c r="B37" t="s">
        <v>202</v>
      </c>
      <c r="D37" t="s">
        <v>302</v>
      </c>
      <c r="E37" t="str">
        <f t="shared" si="0"/>
        <v>(newid(),'Immutable Form','','The monster is immune to any spell or effect that would alter its form.'),</v>
      </c>
    </row>
    <row r="38" spans="1:5">
      <c r="A38" t="s">
        <v>112</v>
      </c>
      <c r="B38" t="s">
        <v>203</v>
      </c>
      <c r="D38" t="s">
        <v>303</v>
      </c>
      <c r="E38" t="str">
        <f t="shared" si="0"/>
        <v>(newid(),'Incorporeal Movement','','The monster can move through other creatures and objects as if they were difficult terrain. It takes 5 (1d10) force damage if it ends its turn inside an object.'),</v>
      </c>
    </row>
    <row r="39" spans="1:5">
      <c r="A39" t="s">
        <v>113</v>
      </c>
      <c r="B39" t="s">
        <v>204</v>
      </c>
      <c r="C39" t="s">
        <v>726</v>
      </c>
      <c r="D39" t="s">
        <v>281</v>
      </c>
      <c r="E39" t="str">
        <f t="shared" si="0"/>
        <v>(newid(),'Innate Spellcasting','It''s complicated','Varies'),</v>
      </c>
    </row>
    <row r="40" spans="1:5">
      <c r="A40" t="s">
        <v>114</v>
      </c>
      <c r="B40" t="s">
        <v>205</v>
      </c>
      <c r="D40" t="s">
        <v>727</v>
      </c>
      <c r="E40" t="str">
        <f t="shared" si="0"/>
        <v>(newid(),'Inscrutable','','The monster is immune to any effect that would sense its emotions or read its thoughts, as well as any divination spell that it refuses. Wisdom (Insight) checks made to ascertain the monster''s intentions or sincerity have disadvantage.'),</v>
      </c>
    </row>
    <row r="41" spans="1:5">
      <c r="A41" t="s">
        <v>115</v>
      </c>
      <c r="B41" t="s">
        <v>206</v>
      </c>
      <c r="D41" t="s">
        <v>304</v>
      </c>
      <c r="E41" t="str">
        <f t="shared" si="0"/>
        <v>(newid(),'Invisibility','','The monster magically turns invisible until it attacks or uses offensive abilities or until its concentration ends (as if concentrating on a spell) . Any equipment the monster wears or carries is invisible with it'),</v>
      </c>
    </row>
    <row r="42" spans="1:5">
      <c r="A42" t="s">
        <v>116</v>
      </c>
      <c r="B42" t="s">
        <v>207</v>
      </c>
      <c r="D42" t="s">
        <v>278</v>
      </c>
      <c r="E42" t="str">
        <f t="shared" si="0"/>
        <v>(newid(),'Keen Senses','','The monster has advantage on Wisdom (Perception) checks that rely on the chosen sense.'),</v>
      </c>
    </row>
    <row r="43" spans="1:5">
      <c r="A43" t="s">
        <v>117</v>
      </c>
      <c r="B43" t="s">
        <v>208</v>
      </c>
      <c r="D43" t="s">
        <v>305</v>
      </c>
      <c r="E43" t="str">
        <f t="shared" si="0"/>
        <v>(newid(),'Labyrinthine Recall','','The monster can perfectly recall any path it has traveled.'),</v>
      </c>
    </row>
    <row r="44" spans="1:5">
      <c r="A44" t="s">
        <v>118</v>
      </c>
      <c r="B44" t="s">
        <v>343</v>
      </c>
      <c r="D44" t="s">
        <v>306</v>
      </c>
      <c r="E44" t="str">
        <f t="shared" si="0"/>
        <v>(newid(),'Leadership','','For 1 minute, the monster can utter a special command or warning whenever a nonhostile creature that it can see within 30 feet of it makes an attack roll or a saving throw. The creature can add a d4 to its roll provided it can hear and understand the monster. A creature can benefit from only one Leadership die at a time. This effect ends if the monster is incapacitated'),</v>
      </c>
    </row>
    <row r="45" spans="1:5">
      <c r="A45" t="s">
        <v>119</v>
      </c>
      <c r="B45" t="s">
        <v>179</v>
      </c>
      <c r="C45" t="s">
        <v>728</v>
      </c>
      <c r="D45" t="s">
        <v>307</v>
      </c>
      <c r="E45" t="str">
        <f t="shared" si="0"/>
        <v>(newid(),'Legendary Resistance','Each per-day use of this trait increases the monster''s effective hit points based on the expected challenge rating: 1-4, 10 hp; 5-10, 20 hp; 11 or higher, 30 hp','If the monster fails a saving throw, it can choose to succeed instead.'),</v>
      </c>
    </row>
    <row r="46" spans="1:5">
      <c r="A46" t="s">
        <v>120</v>
      </c>
      <c r="B46" t="s">
        <v>209</v>
      </c>
      <c r="D46" t="s">
        <v>729</v>
      </c>
      <c r="E46" t="str">
        <f t="shared" si="0"/>
        <v>(newid(),'Life Drain','','The target must succeed on a Constitution saving throw or its hit point maximum is reduced by an amount equal to the damage taken. This reduction lasts until the target finishes a long rest. The target dies if this effect reduces its hit point maximum to 0. A humanoid slain by this attack rises 24 hours later as a zombie under the monster''s control, unless the humanoid is restored to life or its body is destroyed. The monster can have no more than twelve zombies under its control at one time.'),</v>
      </c>
    </row>
    <row r="47" spans="1:5">
      <c r="A47" t="s">
        <v>121</v>
      </c>
      <c r="B47" t="s">
        <v>210</v>
      </c>
      <c r="D47" t="s">
        <v>308</v>
      </c>
      <c r="E47" t="str">
        <f t="shared" si="0"/>
        <v>(newid(),'Light Sensitivity','','While in bright light, the monster has disadvantage on attack rolls, as well as on Wisdom (Perception) checks that rely on sight.'),</v>
      </c>
    </row>
    <row r="48" spans="1:5">
      <c r="A48" t="s">
        <v>122</v>
      </c>
      <c r="B48" t="s">
        <v>211</v>
      </c>
      <c r="C48" t="s">
        <v>730</v>
      </c>
      <c r="D48" t="s">
        <v>309</v>
      </c>
      <c r="E48" t="str">
        <f t="shared" si="0"/>
        <v>(newid(),'Magic Resistance','Increase the monster''s effective AC by 2','The monster has advantage on saving throws against spells and other magical effects.'),</v>
      </c>
    </row>
    <row r="49" spans="1:5">
      <c r="A49" t="s">
        <v>123</v>
      </c>
      <c r="B49" t="s">
        <v>211</v>
      </c>
      <c r="D49" t="s">
        <v>731</v>
      </c>
      <c r="E49" t="str">
        <f t="shared" si="0"/>
        <v>(newid(),'Magic Weapons','','The monster''s weapons are magical'),</v>
      </c>
    </row>
    <row r="50" spans="1:5">
      <c r="A50" t="s">
        <v>124</v>
      </c>
      <c r="B50" t="s">
        <v>342</v>
      </c>
      <c r="C50" t="s">
        <v>240</v>
      </c>
      <c r="D50" t="s">
        <v>732</v>
      </c>
      <c r="E50" t="str">
        <f t="shared" si="0"/>
        <v>(newid(),'Martial Advantage','Increase the effective damage of one attack per round by the amount gained from this trait','Once per turn, the monster can deal an extra 10 (3d6) damage to a creature it hits with a weapon attack if that creature is with in 5 feet of an ally of the monster that isn''t incapacitated.'),</v>
      </c>
    </row>
    <row r="51" spans="1:5">
      <c r="A51" t="s">
        <v>125</v>
      </c>
      <c r="B51" t="s">
        <v>212</v>
      </c>
      <c r="D51" t="s">
        <v>283</v>
      </c>
      <c r="E51" t="str">
        <f t="shared" si="0"/>
        <v>(newid(),'Mimicry','','The monster has advantage on attack rolls against any creature it has surprised.'),</v>
      </c>
    </row>
    <row r="52" spans="1:5">
      <c r="A52" t="s">
        <v>145</v>
      </c>
      <c r="B52" t="s">
        <v>213</v>
      </c>
      <c r="C52" t="s">
        <v>733</v>
      </c>
      <c r="D52" t="s">
        <v>310</v>
      </c>
      <c r="E52" t="str">
        <f t="shared" si="0"/>
        <v>(newid(),'Nimble Escape','Increase the monster''s effective AC and effective attack bonus by 4 ( assuming the monster hits every round)','The monster can take the Disengage or Hide action as a bonus action on each of its turns.'),</v>
      </c>
    </row>
    <row r="53" spans="1:5">
      <c r="A53" t="s">
        <v>126</v>
      </c>
      <c r="B53" t="s">
        <v>174</v>
      </c>
      <c r="D53" t="s">
        <v>311</v>
      </c>
      <c r="E53" t="str">
        <f t="shared" si="0"/>
        <v>(newid(),'Otherworldly Perception','','The monster can sense the presence of any creature within 30 feet of it that is invisible or on the Ethereal Plane. It can pinpoint such a creature that is moving. '),</v>
      </c>
    </row>
    <row r="54" spans="1:5">
      <c r="A54" t="s">
        <v>127</v>
      </c>
      <c r="B54" t="s">
        <v>214</v>
      </c>
      <c r="C54" t="s">
        <v>704</v>
      </c>
      <c r="D54" t="s">
        <v>734</v>
      </c>
      <c r="E54" t="str">
        <f t="shared" si="0"/>
        <v>(newid(),'Pack Tactics','Increase the monster''s effective attack bonus by 1','The monster has advantage on an attack roll against a creature if at least one of the monster''s allies is within 5 feet of the creature and the ally isn''t incapacitated.'),</v>
      </c>
    </row>
    <row r="55" spans="1:5">
      <c r="A55" t="s">
        <v>128</v>
      </c>
      <c r="B55" t="s">
        <v>313</v>
      </c>
      <c r="C55" t="s">
        <v>708</v>
      </c>
      <c r="D55" t="s">
        <v>312</v>
      </c>
      <c r="E55" t="str">
        <f t="shared" si="0"/>
        <v>(newid(),'Parry','Increase the monster''s effective AC by 1','The monster adds 6 to its AC against one melee attack that would hit it. To do so, the monster must see the attacker and be wield ing a melee weapon.'),</v>
      </c>
    </row>
    <row r="56" spans="1:5">
      <c r="A56" t="s">
        <v>129</v>
      </c>
      <c r="B56" t="s">
        <v>203</v>
      </c>
      <c r="C56" t="s">
        <v>735</v>
      </c>
      <c r="D56" t="s">
        <v>736</v>
      </c>
      <c r="E56" t="str">
        <f t="shared" si="0"/>
        <v>(newid(),'Possession','Double the monster''s effective hit points.','Recharge 6. One humanoid that the monster can see within 5 feet of it must succeed on a Charisma saving throw or be possessed by the monster; the monster then disappears, and the target is incapacitated and loses control of its body. The monster now controls the body but doesn''t deprive the target of awareness. The monster can''t be targeted by any attack, spell, or other effect, except ones that turn undead, and it retains its alignment, Intelligence, Wisdom, Charisma, and immunities and resistances. It otherwise uses the possessed target''s statistics, but doesn''t gain access to the target''s knowledge, class features, or proficiencies. The possession lasts until the body drops to 0 hit points, the monster ends it as a bonus action, or the monster is turned or forced out by an effect like the dispel evil and good spell. When the possession ends, the monster reappears in an unoccupied space within 5 feet of the body. The target is immune to this monster''s Possession for 24 hours after succeeding on the saving throw or after the possession ends.'),</v>
      </c>
    </row>
    <row r="57" spans="1:5">
      <c r="A57" t="s">
        <v>130</v>
      </c>
      <c r="B57" t="s">
        <v>215</v>
      </c>
      <c r="C57" t="s">
        <v>737</v>
      </c>
      <c r="D57" t="s">
        <v>314</v>
      </c>
      <c r="E57" t="str">
        <f t="shared" si="0"/>
        <v>(newid(),'Pounce','Increase the monster''s effective damage for 1 round by the amount it deals with the bonus action gained from this trait','If the monster moves at least 30 feet straight toward a creature and then hits it with a hand attack on the same turn, that target must succeed on a Strength saving throw or be knocked prone. If the target is prone, the monster can make one bite attack against it as a bonus action.'),</v>
      </c>
    </row>
    <row r="58" spans="1:5">
      <c r="A58" t="s">
        <v>131</v>
      </c>
      <c r="B58" t="s">
        <v>216</v>
      </c>
      <c r="C58" t="s">
        <v>738</v>
      </c>
      <c r="D58" t="s">
        <v>315</v>
      </c>
      <c r="E58" t="str">
        <f t="shared" si="0"/>
        <v>(newid(),'Psychic Defense','Apply the monster''s Wisdom modifier to its actual AC if the monsterits wearing armor or wielding a shield','While the monster is wearing no armor and wielding no shield , its AC includes its Wisdom modifier.'),</v>
      </c>
    </row>
    <row r="59" spans="1:5">
      <c r="A59" t="s">
        <v>132</v>
      </c>
      <c r="B59" t="s">
        <v>217</v>
      </c>
      <c r="C59" t="s">
        <v>241</v>
      </c>
      <c r="D59" t="s">
        <v>316</v>
      </c>
      <c r="E59" t="str">
        <f t="shared" si="0"/>
        <v>(newid(),'Rampage','Incrase the monster effective per-round damage by 2','When the monster reduces a creature to 0 hit points with a melee attack on its turn , the monster can take a bonus action to move up to half its speed and make a bite attack.'),</v>
      </c>
    </row>
    <row r="60" spans="1:5">
      <c r="A60" t="s">
        <v>133</v>
      </c>
      <c r="B60" t="s">
        <v>218</v>
      </c>
      <c r="D60" t="s">
        <v>317</v>
      </c>
      <c r="E60" t="str">
        <f t="shared" si="0"/>
        <v>(newid(),'Reactive ','','The monster can take one reaction on every turn in a combat.'),</v>
      </c>
    </row>
    <row r="61" spans="1:5">
      <c r="A61" t="s">
        <v>134</v>
      </c>
      <c r="B61" t="s">
        <v>172</v>
      </c>
      <c r="D61" t="s">
        <v>739</v>
      </c>
      <c r="E61" t="str">
        <f t="shared" si="0"/>
        <v>(newid(),'Read Thoughts','','The monster magically reads the surface thoughts of one creature within 60 feet of it. The effect can penetrate barriers, but 3 feet of wood or dirt, 2 feet of stone, 2 inches of metal, or a thin layer of lead blocks it. While the target is in range, the monster can continue reading its thoughts, as long as the monster''s concentration isn''t broken (as if concentrating on a spell). While reading the target''s mind, the monster has advantage on Wisdom (Insight) and Charisma (Deception, Intimidation, and Persuasion) checks against the target.'),</v>
      </c>
    </row>
    <row r="62" spans="1:5">
      <c r="A62" t="s">
        <v>135</v>
      </c>
      <c r="B62" t="s">
        <v>208</v>
      </c>
      <c r="D62" t="s">
        <v>318</v>
      </c>
      <c r="E62" t="str">
        <f t="shared" si="0"/>
        <v>(newid(),'Reckless','','At the start of its turn, the monster can gain advantage on all melee weapon attack rolls it makes during that turn, but attack rolls against it have advantage until the start of its next turn.'),</v>
      </c>
    </row>
    <row r="63" spans="1:5">
      <c r="A63" t="s">
        <v>136</v>
      </c>
      <c r="B63" t="s">
        <v>219</v>
      </c>
      <c r="D63" t="s">
        <v>319</v>
      </c>
      <c r="E63" t="str">
        <f t="shared" si="0"/>
        <v>(newid(),'Redirect Attack','','When a creature the monster can see targets it with an attack, the monster chooses an ally within 5 feet of it. The two monster swap places, and the chosen monster becomes the target instead.'),</v>
      </c>
    </row>
    <row r="64" spans="1:5">
      <c r="A64" t="s">
        <v>137</v>
      </c>
      <c r="B64" t="s">
        <v>220</v>
      </c>
      <c r="D64" t="s">
        <v>320</v>
      </c>
      <c r="E64" t="str">
        <f t="shared" si="0"/>
        <v>(newid(),'Reel','','The monster pulls each creature grappled by it up to 25 feet straight toward it.'),</v>
      </c>
    </row>
    <row r="65" spans="1:5">
      <c r="A65" t="s">
        <v>138</v>
      </c>
      <c r="B65" t="s">
        <v>221</v>
      </c>
      <c r="C65" t="s">
        <v>740</v>
      </c>
      <c r="D65" t="s">
        <v>321</v>
      </c>
      <c r="E65" t="str">
        <f t="shared" si="0"/>
        <v>(newid(),'Regeneration','Increase the monster''s effective hit points by 3x the number of hit points the monster regenerates each round','The monster regains 10 hit points at the start of its turn if it has at least 1 hit point'),</v>
      </c>
    </row>
    <row r="66" spans="1:5">
      <c r="A66" t="s">
        <v>139</v>
      </c>
      <c r="B66" t="s">
        <v>222</v>
      </c>
      <c r="D66" t="s">
        <v>322</v>
      </c>
      <c r="E66" t="str">
        <f t="shared" si="0"/>
        <v>(newid(),'Rejuvenation','','If it has a phylactery, the destroyed monster gains a new body in 1d10 days, regaining all its hit points and becoming active again . The new body appears within 5 feet of the phylactery.'),</v>
      </c>
    </row>
    <row r="67" spans="1:5">
      <c r="A67" t="s">
        <v>140</v>
      </c>
      <c r="B67" t="s">
        <v>223</v>
      </c>
      <c r="C67" t="s">
        <v>741</v>
      </c>
      <c r="D67" t="s">
        <v>652</v>
      </c>
      <c r="E67" t="str">
        <f t="shared" si="0"/>
        <v>(newid(),'Relentless','Increase the monster''s effective hit points based on the expected challenge rating: 1-4, 7 hp; 5-10, 14 hp; 11-16, 21 hp; 17 or higher, 28 hp','If the monster takes 14 damage or less that would reduce it to 0 hit points, it is reduced to 1 hit point instead.'),</v>
      </c>
    </row>
    <row r="68" spans="1:5">
      <c r="A68" t="s">
        <v>146</v>
      </c>
      <c r="B68" t="s">
        <v>210</v>
      </c>
      <c r="C68" t="s">
        <v>742</v>
      </c>
      <c r="D68" t="s">
        <v>323</v>
      </c>
      <c r="E68" t="str">
        <f t="shared" ref="E68:E92" si="1">"(newid(),'"&amp;A68&amp;"','"&amp;C68&amp;"','"&amp;D68&amp;"'),"</f>
        <v>(newid(),'Shadow Stealth','Incrase the monster''s effective AC by 4','While in dim light or darkness, the monster can take the Hide action as a bonus action.'),</v>
      </c>
    </row>
    <row r="69" spans="1:5">
      <c r="A69" t="s">
        <v>147</v>
      </c>
      <c r="B69" t="s">
        <v>224</v>
      </c>
      <c r="D69" t="s">
        <v>324</v>
      </c>
      <c r="E69" t="str">
        <f t="shared" si="1"/>
        <v>(newid(),'Shapechanger','','The monster can use its action to polymorph into a beast form that resembles a bat (speed 10ft. fly 40ft.), a centipede (40ft., climb 40ft.), or a toad (40ft., swi m 40ft.), or back into its true form. Its statistics are the same in each form, except for the speed changes noted. Any equipment it is wearing or carrying transforms along with it.'),</v>
      </c>
    </row>
    <row r="70" spans="1:5">
      <c r="A70" t="s">
        <v>148</v>
      </c>
      <c r="B70" t="s">
        <v>225</v>
      </c>
      <c r="D70" t="s">
        <v>325</v>
      </c>
      <c r="E70" t="str">
        <f t="shared" si="1"/>
        <v>(newid(),'Siege Monster','','The monster deals double damage to objects and structures.'),</v>
      </c>
    </row>
    <row r="71" spans="1:5">
      <c r="A71" t="s">
        <v>169</v>
      </c>
      <c r="B71" t="s">
        <v>174</v>
      </c>
      <c r="D71" t="s">
        <v>326</v>
      </c>
      <c r="E71" t="str">
        <f t="shared" si="1"/>
        <v>(newid(),'Slippery','','The monster has advantage on ability checks and saving throws made to escape a grapple.'),</v>
      </c>
    </row>
    <row r="72" spans="1:5">
      <c r="A72" t="s">
        <v>149</v>
      </c>
      <c r="B72" t="s">
        <v>222</v>
      </c>
      <c r="C72" t="s">
        <v>726</v>
      </c>
      <c r="D72" t="s">
        <v>281</v>
      </c>
      <c r="E72" t="str">
        <f t="shared" si="1"/>
        <v>(newid(),'Spellcasting','It''s complicated','Varies'),</v>
      </c>
    </row>
    <row r="73" spans="1:5">
      <c r="A73" t="s">
        <v>150</v>
      </c>
      <c r="B73" t="s">
        <v>226</v>
      </c>
      <c r="D73" t="s">
        <v>279</v>
      </c>
      <c r="E73" t="str">
        <f t="shared" si="1"/>
        <v>(newid(),'Spider Climb','','The monster can climb difficult surfaces, including upside down on ceilings, without needing to make an ability check.'),</v>
      </c>
    </row>
    <row r="74" spans="1:5">
      <c r="A74" t="s">
        <v>151</v>
      </c>
      <c r="B74" t="s">
        <v>227</v>
      </c>
      <c r="D74" t="s">
        <v>743</v>
      </c>
      <c r="E74" t="str">
        <f t="shared" si="1"/>
        <v>(newid(),'Standing Leap','','The monster''s long jump is up to 20 feet and its high jump is up to 10 feet, with or without a running start.'),</v>
      </c>
    </row>
    <row r="75" spans="1:5">
      <c r="A75" t="s">
        <v>152</v>
      </c>
      <c r="B75" t="s">
        <v>228</v>
      </c>
      <c r="D75" t="s">
        <v>744</v>
      </c>
      <c r="E75" t="str">
        <f t="shared" si="1"/>
        <v>(newid(),'Steadfast','','The monster can''t be frightened while it can see an allied creature within 30 feet of it.'),</v>
      </c>
    </row>
    <row r="76" spans="1:5">
      <c r="A76" t="s">
        <v>153</v>
      </c>
      <c r="B76" t="s">
        <v>181</v>
      </c>
      <c r="C76" t="s">
        <v>708</v>
      </c>
      <c r="D76" t="s">
        <v>745</v>
      </c>
      <c r="E76" t="str">
        <f t="shared" si="1"/>
        <v>(newid(),'Stench','Increase the monster''s effective AC by 1','Any creature that starts its turn within 10 feet of the monster must succeed on a Constitution saving throw or be poisoned until the start of its next turn. On a successful saving throw, the creature is immune to the monster''s stench for 24 hours'),</v>
      </c>
    </row>
    <row r="77" spans="1:5">
      <c r="A77" t="s">
        <v>154</v>
      </c>
      <c r="B77" t="s">
        <v>214</v>
      </c>
      <c r="D77" t="s">
        <v>327</v>
      </c>
      <c r="E77" t="str">
        <f t="shared" si="1"/>
        <v>(newid(),'Sunlight Sensitivity','','While in sunlight, the monster has disadvantage on attack rolls, as well as on Wisdom (Perception) checks that rely on sight.'),</v>
      </c>
    </row>
    <row r="78" spans="1:5">
      <c r="A78" t="s">
        <v>155</v>
      </c>
      <c r="B78" t="s">
        <v>229</v>
      </c>
      <c r="C78" t="s">
        <v>730</v>
      </c>
      <c r="D78" t="s">
        <v>328</v>
      </c>
      <c r="E78" t="str">
        <f t="shared" si="1"/>
        <v>(newid(),'Superior Invisibility','Increase the monster''s effective AC by 2','As a bonus action, the monster can magically turn invisible until its concentration ends (as if concentrating on a spell). Any equipment the monster wears or carries is invisible with it.'),</v>
      </c>
    </row>
    <row r="79" spans="1:5">
      <c r="A79" t="s">
        <v>156</v>
      </c>
      <c r="B79" t="s">
        <v>230</v>
      </c>
      <c r="D79" t="s">
        <v>329</v>
      </c>
      <c r="E79" t="str">
        <f t="shared" si="1"/>
        <v>(newid(),'Sure-Footed','','The monster has advantage on Strength and Dexterity saving throws made against effects that would knock it prone.'),</v>
      </c>
    </row>
    <row r="80" spans="1:5">
      <c r="A80" t="s">
        <v>170</v>
      </c>
      <c r="B80" t="s">
        <v>180</v>
      </c>
      <c r="C80" t="s">
        <v>746</v>
      </c>
      <c r="D80" t="s">
        <v>330</v>
      </c>
      <c r="E80" t="str">
        <f t="shared" si="1"/>
        <v>(newid(),'Surprise Attack','Increase the monster''s effective damage for 1 round by the amount noted in the trait','If the monster surprises a creature and hits it with an attack during the first round of combat, the target takes extra damage from the attack.'),</v>
      </c>
    </row>
    <row r="81" spans="1:5">
      <c r="A81" t="s">
        <v>157</v>
      </c>
      <c r="B81" t="s">
        <v>231</v>
      </c>
      <c r="C81" t="s">
        <v>242</v>
      </c>
      <c r="D81" t="s">
        <v>747</v>
      </c>
      <c r="E81" t="str">
        <f t="shared" si="1"/>
        <v>(newid(),'Swallow ','Assume the monster swallows one creature and deals 2 rounds of acid damage to it','The monster makes one bite attack against a Medium or smaller target it is grappling. If the attack hits, the target is also swallowed, and the grapple ends. While swallowed, the target is blinded and restrained, it has total cover against attacks and other effects outside the behir, and it takes acid damage at the start of each of the monster''s turns. A monster can have only one creature swallowed at a time. If the monster takes 30 damage or more on a single turn from the swallowed creature, the monster must succeed on a Constitution saving throw at the end of that turn or regurgitate the creature, which falls prone in a space within 10 feet of the monster. If the monster dies, a swallowed creature is no longer restrained by it and can escape from the corpse by using 15 feet of movement, exiting prone.'),</v>
      </c>
    </row>
    <row r="82" spans="1:5">
      <c r="A82" t="s">
        <v>158</v>
      </c>
      <c r="B82" t="s">
        <v>211</v>
      </c>
      <c r="D82" t="s">
        <v>331</v>
      </c>
      <c r="E82" t="str">
        <f t="shared" si="1"/>
        <v>(newid(),'Teleport','','The monster magically teleports, along with any equipment it is wearing or carrying, up to 120 feet to an unoccupied space it can see.'),</v>
      </c>
    </row>
    <row r="83" spans="1:5">
      <c r="A83" t="s">
        <v>159</v>
      </c>
      <c r="B83" t="s">
        <v>227</v>
      </c>
      <c r="D83" t="s">
        <v>332</v>
      </c>
      <c r="E83" t="str">
        <f t="shared" si="1"/>
        <v>(newid(),'Terrain Camouflage','','The monster has advantage on Dexterity (Stealth) checks made to hide in native terrain.'),</v>
      </c>
    </row>
    <row r="84" spans="1:5">
      <c r="A84" t="s">
        <v>160</v>
      </c>
      <c r="B84" t="s">
        <v>232</v>
      </c>
      <c r="D84" t="s">
        <v>333</v>
      </c>
      <c r="E84" t="str">
        <f t="shared" si="1"/>
        <v>(newid(),'Tunneler','','The monster can burrow through solid rock at half its burrowing speed and leaves a tunnel in its wake.'),</v>
      </c>
    </row>
    <row r="85" spans="1:5">
      <c r="A85" t="s">
        <v>161</v>
      </c>
      <c r="B85" t="s">
        <v>233</v>
      </c>
      <c r="D85" t="s">
        <v>334</v>
      </c>
      <c r="E85" t="str">
        <f t="shared" si="1"/>
        <v>(newid(),'Turn Immunity','','The monster is immune to effects that turn undead.'),</v>
      </c>
    </row>
    <row r="86" spans="1:5">
      <c r="A86" t="s">
        <v>162</v>
      </c>
      <c r="B86" t="s">
        <v>234</v>
      </c>
      <c r="D86" t="s">
        <v>335</v>
      </c>
      <c r="E86" t="str">
        <f t="shared" si="1"/>
        <v>(newid(),'Turn Resistance','','The monster has advantage on saving throws against any effect that turns undead.'),</v>
      </c>
    </row>
    <row r="87" spans="1:5">
      <c r="A87" t="s">
        <v>163</v>
      </c>
      <c r="B87" t="s">
        <v>235</v>
      </c>
      <c r="D87" t="s">
        <v>336</v>
      </c>
      <c r="E87" t="str">
        <f t="shared" si="1"/>
        <v>(newid(),'Two Heads','','The monster has advantage on Wisdom (Perception) checks and on saving throws against being blinded, charmed, deafened, frightened, stunned, and knocked unconscious.'),</v>
      </c>
    </row>
    <row r="88" spans="1:5">
      <c r="A88" t="s">
        <v>164</v>
      </c>
      <c r="B88" t="s">
        <v>236</v>
      </c>
      <c r="C88" t="s">
        <v>741</v>
      </c>
      <c r="D88" t="s">
        <v>337</v>
      </c>
      <c r="E88" t="str">
        <f t="shared" si="1"/>
        <v>(newid(),'Undead Fortitude','Increase the monster''s effective hit points based on the expected challenge rating: 1-4, 7 hp; 5-10, 14 hp; 11-16, 21 hp; 17 or higher, 28 hp','If damage reduces the monster to 0 hit points, it must make a Constitution saving throw with a DC of 5 +the damage taken, unless the damage is radiant or from a critical hit. On a success, the monster drops to 1 hit point instead.'),</v>
      </c>
    </row>
    <row r="89" spans="1:5">
      <c r="A89" t="s">
        <v>165</v>
      </c>
      <c r="B89" t="s">
        <v>237</v>
      </c>
      <c r="C89" t="s">
        <v>708</v>
      </c>
      <c r="D89" t="s">
        <v>338</v>
      </c>
      <c r="E89" t="str">
        <f t="shared" si="1"/>
        <v>(newid(),'Web','Increase the monster''s effective AC by 1','Recharge 5-6. Ranged Weapon Attack: +5 to hit, range 30 ft. to 60 ft., one creature. Hit: The target is restrained by webbing. As an action, the restrained target can make a Strength check, bursting the webbing on a success. The webbing can also be attacked and destroyed (AC 10; hp 5; vulnerability to fire damage; immunity to bludgeoning, poison, and psychic damage).'),</v>
      </c>
    </row>
    <row r="90" spans="1:5">
      <c r="A90" t="s">
        <v>166</v>
      </c>
      <c r="B90" t="s">
        <v>237</v>
      </c>
      <c r="D90" t="s">
        <v>339</v>
      </c>
      <c r="E90" t="str">
        <f t="shared" si="1"/>
        <v>(newid(),'Web Sense','','While in contact with a web, the monster knows the exact location of any other creature in contact with the same web.'),</v>
      </c>
    </row>
    <row r="91" spans="1:5">
      <c r="A91" t="s">
        <v>167</v>
      </c>
      <c r="B91" t="s">
        <v>237</v>
      </c>
      <c r="D91" t="s">
        <v>340</v>
      </c>
      <c r="E91" t="str">
        <f t="shared" si="1"/>
        <v>(newid(),'Web Walker','','The monster ignores movement restrictions caused by webbing.'),</v>
      </c>
    </row>
    <row r="92" spans="1:5">
      <c r="A92" t="s">
        <v>168</v>
      </c>
      <c r="B92" t="s">
        <v>238</v>
      </c>
      <c r="C92" t="s">
        <v>748</v>
      </c>
      <c r="D92" t="s">
        <v>341</v>
      </c>
      <c r="E92" t="str">
        <f t="shared" si="1"/>
        <v>(newid(),'Wounded Fury','Increase the monster''s damager for 1 round by the amount noted in the trait','While it has 10 hit points or fewer, the monster has advantage on attack rolls. In addition, it deals extra damage to any target it hits with a melee attack.'),</v>
      </c>
    </row>
    <row r="94" spans="1:5">
      <c r="A94" t="s">
        <v>749</v>
      </c>
    </row>
    <row r="95" spans="1:5">
      <c r="A95" t="s">
        <v>750</v>
      </c>
    </row>
    <row r="96" spans="1:5">
      <c r="A96" t="s">
        <v>751</v>
      </c>
    </row>
    <row r="97" spans="1:1">
      <c r="A97" t="s">
        <v>752</v>
      </c>
    </row>
    <row r="98" spans="1:1">
      <c r="A98" t="s">
        <v>753</v>
      </c>
    </row>
    <row r="99" spans="1:1">
      <c r="A99" t="s">
        <v>754</v>
      </c>
    </row>
    <row r="100" spans="1:1">
      <c r="A100" t="s">
        <v>755</v>
      </c>
    </row>
    <row r="101" spans="1:1">
      <c r="A101" t="s">
        <v>756</v>
      </c>
    </row>
    <row r="102" spans="1:1">
      <c r="A102" t="s">
        <v>701</v>
      </c>
    </row>
    <row r="103" spans="1:1">
      <c r="A103" t="s">
        <v>757</v>
      </c>
    </row>
    <row r="104" spans="1:1">
      <c r="A104" t="s">
        <v>758</v>
      </c>
    </row>
    <row r="105" spans="1:1">
      <c r="A105" t="s">
        <v>759</v>
      </c>
    </row>
    <row r="106" spans="1:1">
      <c r="A106" t="s">
        <v>760</v>
      </c>
    </row>
    <row r="107" spans="1:1">
      <c r="A107" t="s">
        <v>761</v>
      </c>
    </row>
    <row r="108" spans="1:1">
      <c r="A108" t="s">
        <v>762</v>
      </c>
    </row>
    <row r="109" spans="1:1">
      <c r="A109" t="s">
        <v>763</v>
      </c>
    </row>
    <row r="110" spans="1:1">
      <c r="A110" t="s">
        <v>764</v>
      </c>
    </row>
    <row r="111" spans="1:1">
      <c r="A111" t="s">
        <v>765</v>
      </c>
    </row>
    <row r="112" spans="1:1">
      <c r="A112" t="s">
        <v>766</v>
      </c>
    </row>
    <row r="113" spans="1:1">
      <c r="A113" t="s">
        <v>767</v>
      </c>
    </row>
    <row r="114" spans="1:1">
      <c r="A114" t="s">
        <v>768</v>
      </c>
    </row>
    <row r="115" spans="1:1">
      <c r="A115" t="s">
        <v>769</v>
      </c>
    </row>
    <row r="116" spans="1:1">
      <c r="A116" t="s">
        <v>770</v>
      </c>
    </row>
    <row r="117" spans="1:1">
      <c r="A117" t="s">
        <v>771</v>
      </c>
    </row>
    <row r="118" spans="1:1">
      <c r="A118" t="s">
        <v>772</v>
      </c>
    </row>
    <row r="119" spans="1:1">
      <c r="A119" t="s">
        <v>773</v>
      </c>
    </row>
    <row r="120" spans="1:1">
      <c r="A120" t="s">
        <v>774</v>
      </c>
    </row>
    <row r="121" spans="1:1">
      <c r="A121" t="s">
        <v>775</v>
      </c>
    </row>
    <row r="122" spans="1:1">
      <c r="A122" t="s">
        <v>776</v>
      </c>
    </row>
    <row r="123" spans="1:1">
      <c r="A123" t="s">
        <v>777</v>
      </c>
    </row>
    <row r="124" spans="1:1">
      <c r="A124" t="s">
        <v>778</v>
      </c>
    </row>
    <row r="125" spans="1:1">
      <c r="A125" t="s">
        <v>779</v>
      </c>
    </row>
    <row r="126" spans="1:1">
      <c r="A126" t="s">
        <v>780</v>
      </c>
    </row>
    <row r="127" spans="1:1">
      <c r="A127" t="s">
        <v>781</v>
      </c>
    </row>
    <row r="128" spans="1:1">
      <c r="A128" t="s">
        <v>782</v>
      </c>
    </row>
    <row r="129" spans="1:1">
      <c r="A129" t="s">
        <v>783</v>
      </c>
    </row>
    <row r="130" spans="1:1">
      <c r="A130" t="s">
        <v>784</v>
      </c>
    </row>
    <row r="131" spans="1:1">
      <c r="A131" t="s">
        <v>785</v>
      </c>
    </row>
    <row r="132" spans="1:1">
      <c r="A132" t="s">
        <v>786</v>
      </c>
    </row>
    <row r="133" spans="1:1">
      <c r="A133" t="s">
        <v>787</v>
      </c>
    </row>
    <row r="134" spans="1:1">
      <c r="A134" t="s">
        <v>788</v>
      </c>
    </row>
    <row r="135" spans="1:1">
      <c r="A135" t="s">
        <v>789</v>
      </c>
    </row>
    <row r="136" spans="1:1">
      <c r="A136" t="s">
        <v>790</v>
      </c>
    </row>
    <row r="137" spans="1:1">
      <c r="A137" t="s">
        <v>791</v>
      </c>
    </row>
    <row r="138" spans="1:1">
      <c r="A138" t="s">
        <v>792</v>
      </c>
    </row>
    <row r="139" spans="1:1">
      <c r="A139" t="s">
        <v>793</v>
      </c>
    </row>
    <row r="140" spans="1:1">
      <c r="A140" t="s">
        <v>794</v>
      </c>
    </row>
    <row r="141" spans="1:1">
      <c r="A141" t="s">
        <v>795</v>
      </c>
    </row>
    <row r="142" spans="1:1">
      <c r="A142" t="s">
        <v>796</v>
      </c>
    </row>
    <row r="143" spans="1:1">
      <c r="A143" t="s">
        <v>797</v>
      </c>
    </row>
    <row r="144" spans="1:1">
      <c r="A144" t="s">
        <v>798</v>
      </c>
    </row>
    <row r="145" spans="1:1">
      <c r="A145" t="s">
        <v>799</v>
      </c>
    </row>
    <row r="146" spans="1:1">
      <c r="A146" t="s">
        <v>800</v>
      </c>
    </row>
    <row r="147" spans="1:1">
      <c r="A147" t="s">
        <v>801</v>
      </c>
    </row>
    <row r="148" spans="1:1">
      <c r="A148" t="s">
        <v>802</v>
      </c>
    </row>
    <row r="149" spans="1:1">
      <c r="A149" t="s">
        <v>803</v>
      </c>
    </row>
    <row r="150" spans="1:1">
      <c r="A150" t="s">
        <v>702</v>
      </c>
    </row>
    <row r="151" spans="1:1">
      <c r="A151" t="s">
        <v>804</v>
      </c>
    </row>
    <row r="152" spans="1:1">
      <c r="A152" t="s">
        <v>805</v>
      </c>
    </row>
    <row r="153" spans="1:1">
      <c r="A153" t="s">
        <v>806</v>
      </c>
    </row>
    <row r="154" spans="1:1">
      <c r="A154" t="s">
        <v>807</v>
      </c>
    </row>
    <row r="155" spans="1:1">
      <c r="A155" t="s">
        <v>808</v>
      </c>
    </row>
    <row r="156" spans="1:1">
      <c r="A156" t="s">
        <v>809</v>
      </c>
    </row>
    <row r="157" spans="1:1">
      <c r="A157" t="s">
        <v>810</v>
      </c>
    </row>
    <row r="158" spans="1:1">
      <c r="A158" t="s">
        <v>811</v>
      </c>
    </row>
    <row r="159" spans="1:1">
      <c r="A159" t="s">
        <v>812</v>
      </c>
    </row>
    <row r="160" spans="1:1">
      <c r="A160" t="s">
        <v>813</v>
      </c>
    </row>
    <row r="161" spans="1:1">
      <c r="A161" t="s">
        <v>814</v>
      </c>
    </row>
    <row r="162" spans="1:1">
      <c r="A162" t="s">
        <v>815</v>
      </c>
    </row>
    <row r="163" spans="1:1">
      <c r="A163" t="s">
        <v>816</v>
      </c>
    </row>
    <row r="164" spans="1:1">
      <c r="A164" t="s">
        <v>817</v>
      </c>
    </row>
    <row r="165" spans="1:1">
      <c r="A165" t="s">
        <v>818</v>
      </c>
    </row>
    <row r="166" spans="1:1">
      <c r="A166" t="s">
        <v>819</v>
      </c>
    </row>
    <row r="167" spans="1:1">
      <c r="A167" t="s">
        <v>820</v>
      </c>
    </row>
    <row r="168" spans="1:1">
      <c r="A168" t="s">
        <v>821</v>
      </c>
    </row>
    <row r="169" spans="1:1">
      <c r="A169" t="s">
        <v>822</v>
      </c>
    </row>
    <row r="170" spans="1:1">
      <c r="A170" t="s">
        <v>823</v>
      </c>
    </row>
    <row r="171" spans="1:1">
      <c r="A171" t="s">
        <v>824</v>
      </c>
    </row>
    <row r="172" spans="1:1">
      <c r="A172" t="s">
        <v>825</v>
      </c>
    </row>
    <row r="173" spans="1:1">
      <c r="A173" t="s">
        <v>826</v>
      </c>
    </row>
    <row r="174" spans="1:1">
      <c r="A174" t="s">
        <v>827</v>
      </c>
    </row>
    <row r="175" spans="1:1">
      <c r="A175" t="s">
        <v>828</v>
      </c>
    </row>
    <row r="176" spans="1:1">
      <c r="A176" t="s">
        <v>829</v>
      </c>
    </row>
    <row r="177" spans="1:1">
      <c r="A177" t="s">
        <v>830</v>
      </c>
    </row>
    <row r="178" spans="1:1">
      <c r="A178" t="s">
        <v>831</v>
      </c>
    </row>
    <row r="179" spans="1:1">
      <c r="A179" t="s">
        <v>832</v>
      </c>
    </row>
    <row r="180" spans="1:1">
      <c r="A180" t="s">
        <v>833</v>
      </c>
    </row>
    <row r="181" spans="1:1">
      <c r="A181" t="s">
        <v>834</v>
      </c>
    </row>
    <row r="182" spans="1:1">
      <c r="A182" t="s">
        <v>835</v>
      </c>
    </row>
    <row r="183" spans="1:1">
      <c r="A183" t="s">
        <v>836</v>
      </c>
    </row>
  </sheetData>
  <autoFilter ref="A1:D92" xr:uid="{00000000-0009-0000-0000-000006000000}">
    <sortState ref="A2:D92">
      <sortCondition ref="A1:A9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5"/>
  <sheetViews>
    <sheetView topLeftCell="D1" workbookViewId="0">
      <selection activeCell="F3" sqref="F3:F15"/>
    </sheetView>
  </sheetViews>
  <sheetFormatPr defaultRowHeight="14.4"/>
  <cols>
    <col min="1" max="1" width="13.88671875" customWidth="1"/>
    <col min="2" max="2" width="6" bestFit="1" customWidth="1"/>
    <col min="3" max="3" width="16.33203125" bestFit="1" customWidth="1"/>
    <col min="4" max="4" width="21.21875" bestFit="1" customWidth="1"/>
    <col min="5" max="5" width="11.88671875" bestFit="1" customWidth="1"/>
    <col min="7" max="7" width="14.6640625" bestFit="1" customWidth="1"/>
    <col min="8" max="8" width="13.21875" bestFit="1" customWidth="1"/>
    <col min="9" max="9" width="9.109375" bestFit="1" customWidth="1"/>
    <col min="10" max="10" width="17.44140625" bestFit="1" customWidth="1"/>
    <col min="11" max="11" width="8.109375" bestFit="1" customWidth="1"/>
  </cols>
  <sheetData>
    <row r="1" spans="1:11">
      <c r="A1" s="2" t="s">
        <v>543</v>
      </c>
      <c r="B1" s="2" t="s">
        <v>5</v>
      </c>
      <c r="C1" s="2" t="s">
        <v>467</v>
      </c>
      <c r="D1" s="2" t="s">
        <v>570</v>
      </c>
      <c r="E1" s="2" t="s">
        <v>544</v>
      </c>
      <c r="G1" s="2" t="s">
        <v>572</v>
      </c>
      <c r="H1" s="2" t="s">
        <v>5</v>
      </c>
      <c r="J1" s="2" t="s">
        <v>575</v>
      </c>
      <c r="K1" s="105"/>
    </row>
    <row r="2" spans="1:11" s="8" customFormat="1">
      <c r="A2" s="30"/>
      <c r="B2" s="30"/>
      <c r="C2" s="30"/>
      <c r="D2" s="30">
        <v>0</v>
      </c>
      <c r="E2" s="30"/>
      <c r="J2" s="8" t="s">
        <v>576</v>
      </c>
      <c r="K2" s="132" t="str">
        <f>'Modified WS'!G71</f>
        <v>Padded</v>
      </c>
    </row>
    <row r="3" spans="1:11">
      <c r="A3" t="s">
        <v>536</v>
      </c>
      <c r="B3">
        <v>14</v>
      </c>
      <c r="C3" t="s">
        <v>571</v>
      </c>
      <c r="D3">
        <v>2</v>
      </c>
      <c r="F3" t="str">
        <f>"(newid(),'"&amp;A3&amp;"',"&amp;B3&amp;",'"&amp;C3&amp;"',"&amp;D3&amp;",'"&amp;E3&amp;"'),"</f>
        <v>(newid(),'Breastplate',14,'Dex',2,''),</v>
      </c>
      <c r="G3" t="s">
        <v>542</v>
      </c>
      <c r="H3">
        <v>2</v>
      </c>
      <c r="J3" t="s">
        <v>581</v>
      </c>
      <c r="K3" s="27">
        <f>VLOOKUP(K2,A:B,2,FALSE)</f>
        <v>11</v>
      </c>
    </row>
    <row r="4" spans="1:11">
      <c r="A4" t="s">
        <v>539</v>
      </c>
      <c r="B4">
        <v>16</v>
      </c>
      <c r="D4">
        <v>0</v>
      </c>
      <c r="E4" t="s">
        <v>530</v>
      </c>
      <c r="F4" t="str">
        <f t="shared" ref="F4:F15" si="0">"(newid(),'"&amp;A4&amp;"',"&amp;B4&amp;",'"&amp;C4&amp;"',"&amp;D4&amp;",'"&amp;E4&amp;"'),"</f>
        <v>(newid(),'Chain Mail',16,'',0,'Disadvantage'),</v>
      </c>
      <c r="J4" t="s">
        <v>577</v>
      </c>
      <c r="K4" s="27" t="str">
        <f>VLOOKUP(K2,A:C,3,FALSE)</f>
        <v>Dex</v>
      </c>
    </row>
    <row r="5" spans="1:11">
      <c r="A5" t="s">
        <v>534</v>
      </c>
      <c r="B5">
        <v>13</v>
      </c>
      <c r="C5" t="s">
        <v>571</v>
      </c>
      <c r="D5">
        <v>2</v>
      </c>
      <c r="F5" t="str">
        <f t="shared" si="0"/>
        <v>(newid(),'Chain Shirt',13,'Dex',2,''),</v>
      </c>
      <c r="J5" t="s">
        <v>578</v>
      </c>
      <c r="K5" s="27">
        <f>VLOOKUP(K2,A:D,4,FALSE)</f>
        <v>0</v>
      </c>
    </row>
    <row r="6" spans="1:11">
      <c r="A6" t="s">
        <v>537</v>
      </c>
      <c r="B6">
        <v>15</v>
      </c>
      <c r="C6" t="s">
        <v>571</v>
      </c>
      <c r="D6">
        <v>2</v>
      </c>
      <c r="E6" t="s">
        <v>530</v>
      </c>
      <c r="F6" t="str">
        <f t="shared" si="0"/>
        <v>(newid(),'Half Plate',15,'Dex',2,'Disadvantage'),</v>
      </c>
      <c r="J6" t="s">
        <v>579</v>
      </c>
      <c r="K6" s="27">
        <f>'Modified WS'!C12</f>
        <v>2</v>
      </c>
    </row>
    <row r="7" spans="1:11">
      <c r="A7" t="s">
        <v>533</v>
      </c>
      <c r="B7">
        <v>12</v>
      </c>
      <c r="C7" t="s">
        <v>571</v>
      </c>
      <c r="D7">
        <v>2</v>
      </c>
      <c r="F7" t="str">
        <f t="shared" si="0"/>
        <v>(newid(),'Hide',12,'Dex',2,''),</v>
      </c>
      <c r="J7" t="s">
        <v>583</v>
      </c>
      <c r="K7">
        <f>IF(AND(K4="Dex",K5=0),K6,MIN(K5,K6))</f>
        <v>2</v>
      </c>
    </row>
    <row r="8" spans="1:11">
      <c r="A8" t="s">
        <v>531</v>
      </c>
      <c r="B8">
        <v>11</v>
      </c>
      <c r="C8" t="s">
        <v>571</v>
      </c>
      <c r="D8">
        <v>0</v>
      </c>
      <c r="F8" t="str">
        <f t="shared" si="0"/>
        <v>(newid(),'Leather',11,'Dex',0,''),</v>
      </c>
      <c r="J8" t="s">
        <v>580</v>
      </c>
      <c r="K8" s="27">
        <f>SUM(K3+K7)</f>
        <v>13</v>
      </c>
    </row>
    <row r="9" spans="1:11">
      <c r="A9" t="s">
        <v>545</v>
      </c>
      <c r="B9">
        <v>0</v>
      </c>
      <c r="D9">
        <v>0</v>
      </c>
      <c r="F9" t="str">
        <f t="shared" si="0"/>
        <v>(newid(),'Natural Armor',0,'',0,''),</v>
      </c>
    </row>
    <row r="10" spans="1:11">
      <c r="A10" t="s">
        <v>529</v>
      </c>
      <c r="B10">
        <v>11</v>
      </c>
      <c r="C10" t="s">
        <v>571</v>
      </c>
      <c r="D10">
        <v>0</v>
      </c>
      <c r="E10" t="s">
        <v>530</v>
      </c>
      <c r="F10" t="str">
        <f t="shared" si="0"/>
        <v>(newid(),'Padded',11,'Dex',0,'Disadvantage'),</v>
      </c>
      <c r="G10" s="23" t="s">
        <v>482</v>
      </c>
      <c r="H10" s="23" t="s">
        <v>352</v>
      </c>
      <c r="I10" s="23" t="s">
        <v>428</v>
      </c>
      <c r="J10" s="23" t="s">
        <v>429</v>
      </c>
      <c r="K10" s="23" t="s">
        <v>430</v>
      </c>
    </row>
    <row r="11" spans="1:11">
      <c r="A11" t="s">
        <v>541</v>
      </c>
      <c r="B11">
        <v>18</v>
      </c>
      <c r="D11">
        <v>0</v>
      </c>
      <c r="E11" t="s">
        <v>530</v>
      </c>
      <c r="F11" t="str">
        <f t="shared" si="0"/>
        <v>(newid(),'Plate',18,'',0,'Disadvantage'),</v>
      </c>
      <c r="G11" s="14" t="s">
        <v>426</v>
      </c>
      <c r="H11" s="31" t="str">
        <f>'Modified WS'!I74:I74</f>
        <v>101-115</v>
      </c>
      <c r="I11" s="110" t="str">
        <f>LEFT(H11,FIND("-",H11,1)-1)</f>
        <v>101</v>
      </c>
      <c r="J11" s="110" t="str">
        <f>RIGHT(H11,FIND("-",H11,1)-1)</f>
        <v>115</v>
      </c>
      <c r="K11" s="109">
        <f>((J11-I11) / 2) + I11</f>
        <v>108</v>
      </c>
    </row>
    <row r="12" spans="1:11">
      <c r="A12" t="s">
        <v>538</v>
      </c>
      <c r="B12">
        <v>14</v>
      </c>
      <c r="D12">
        <v>0</v>
      </c>
      <c r="E12" t="s">
        <v>530</v>
      </c>
      <c r="F12" t="str">
        <f t="shared" si="0"/>
        <v>(newid(),'Ring Mail',14,'',0,'Disadvantage'),</v>
      </c>
    </row>
    <row r="13" spans="1:11">
      <c r="A13" t="s">
        <v>535</v>
      </c>
      <c r="B13">
        <v>14</v>
      </c>
      <c r="C13" t="s">
        <v>571</v>
      </c>
      <c r="D13">
        <v>2</v>
      </c>
      <c r="E13" t="s">
        <v>530</v>
      </c>
      <c r="F13" t="str">
        <f t="shared" si="0"/>
        <v>(newid(),'Scale Mail',14,'Dex',2,'Disadvantage'),</v>
      </c>
    </row>
    <row r="14" spans="1:11">
      <c r="A14" t="s">
        <v>540</v>
      </c>
      <c r="B14">
        <v>17</v>
      </c>
      <c r="D14">
        <v>0</v>
      </c>
      <c r="E14" t="s">
        <v>530</v>
      </c>
      <c r="F14" t="str">
        <f t="shared" si="0"/>
        <v>(newid(),'Splint',17,'',0,'Disadvantage'),</v>
      </c>
    </row>
    <row r="15" spans="1:11">
      <c r="A15" t="s">
        <v>532</v>
      </c>
      <c r="B15">
        <v>12</v>
      </c>
      <c r="C15" t="s">
        <v>571</v>
      </c>
      <c r="D15">
        <v>0</v>
      </c>
      <c r="F15" t="str">
        <f t="shared" si="0"/>
        <v>(newid(),'Studded leather',12,'Dex',0,''),</v>
      </c>
    </row>
  </sheetData>
  <autoFilter ref="A1:E1" xr:uid="{00000000-0009-0000-0000-000007000000}">
    <sortState ref="A2:E16">
      <sortCondition ref="A1"/>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R36"/>
  <sheetViews>
    <sheetView workbookViewId="0">
      <selection activeCell="I4" sqref="I4"/>
    </sheetView>
  </sheetViews>
  <sheetFormatPr defaultRowHeight="14.4"/>
  <cols>
    <col min="1" max="1" width="8.88671875" style="1"/>
    <col min="2" max="2" width="10.44140625" style="1" bestFit="1" customWidth="1"/>
    <col min="4" max="4" width="8.88671875" style="1"/>
    <col min="5" max="5" width="11.6640625" style="1" bestFit="1" customWidth="1"/>
    <col min="6" max="6" width="15.33203125" style="1" customWidth="1"/>
    <col min="9" max="9" width="4.6640625" bestFit="1" customWidth="1"/>
    <col min="10" max="10" width="10" style="158" bestFit="1" customWidth="1"/>
    <col min="11" max="11" width="3" style="158" bestFit="1" customWidth="1"/>
    <col min="12" max="12" width="7" style="158" bestFit="1" customWidth="1"/>
    <col min="13" max="13" width="7.44140625" style="158" bestFit="1" customWidth="1"/>
    <col min="14" max="14" width="6.109375" style="158" bestFit="1" customWidth="1"/>
    <col min="15" max="15" width="7.5546875" style="158" bestFit="1" customWidth="1"/>
    <col min="16" max="16" width="11.44140625" style="158" bestFit="1" customWidth="1"/>
    <col min="17" max="17" width="11.88671875" style="158" bestFit="1" customWidth="1"/>
  </cols>
  <sheetData>
    <row r="1" spans="1:18">
      <c r="C1" s="194" t="s">
        <v>260</v>
      </c>
      <c r="D1" s="194"/>
      <c r="E1" s="195" t="s">
        <v>261</v>
      </c>
      <c r="F1" s="195"/>
      <c r="G1" s="195"/>
      <c r="K1" s="196" t="s">
        <v>909</v>
      </c>
      <c r="L1" s="196"/>
      <c r="M1" s="196"/>
      <c r="N1" s="196" t="s">
        <v>914</v>
      </c>
      <c r="O1" s="196"/>
      <c r="P1" s="196"/>
      <c r="Q1" s="196"/>
    </row>
    <row r="2" spans="1:18" s="4" customFormat="1">
      <c r="A2" s="163" t="s">
        <v>3</v>
      </c>
      <c r="B2" s="7" t="s">
        <v>4</v>
      </c>
      <c r="C2" s="3" t="s">
        <v>5</v>
      </c>
      <c r="D2" s="7" t="s">
        <v>6</v>
      </c>
      <c r="E2" s="7" t="s">
        <v>7</v>
      </c>
      <c r="F2" s="7" t="s">
        <v>8</v>
      </c>
      <c r="G2" s="3" t="s">
        <v>9</v>
      </c>
      <c r="I2" s="4" t="s">
        <v>3</v>
      </c>
      <c r="J2" s="168" t="s">
        <v>905</v>
      </c>
      <c r="K2" s="168" t="s">
        <v>906</v>
      </c>
      <c r="L2" s="168" t="s">
        <v>907</v>
      </c>
      <c r="M2" s="168" t="s">
        <v>908</v>
      </c>
      <c r="N2" s="168" t="s">
        <v>910</v>
      </c>
      <c r="O2" s="168" t="s">
        <v>913</v>
      </c>
      <c r="P2" s="168" t="s">
        <v>911</v>
      </c>
      <c r="Q2" s="168" t="s">
        <v>912</v>
      </c>
    </row>
    <row r="3" spans="1:18">
      <c r="A3" s="5">
        <v>0</v>
      </c>
      <c r="B3" s="5">
        <v>2</v>
      </c>
      <c r="C3" s="4" t="s">
        <v>10</v>
      </c>
      <c r="D3" s="6" t="s">
        <v>11</v>
      </c>
      <c r="E3" s="5" t="s">
        <v>351</v>
      </c>
      <c r="F3" s="5" t="s">
        <v>45</v>
      </c>
      <c r="G3" s="5" t="s">
        <v>10</v>
      </c>
      <c r="I3" t="str">
        <f t="shared" ref="I3:I36" si="0">"'"&amp;A3&amp;"',"</f>
        <v>'0',</v>
      </c>
      <c r="J3" s="158" t="str">
        <f t="shared" ref="J3:J36" si="1">B3&amp;","</f>
        <v>2,</v>
      </c>
      <c r="K3" s="158" t="s">
        <v>915</v>
      </c>
      <c r="L3" s="158" t="str">
        <f t="shared" ref="L3:L36" si="2">LEFT(D3,FIND("-",D3,1)-1)&amp;","</f>
        <v>1,</v>
      </c>
      <c r="M3" s="169" t="str">
        <f t="shared" ref="M3:M36" si="3">RIGHT(D3,FIND("-",D3,1)-1)&amp;","</f>
        <v>6,</v>
      </c>
      <c r="N3" s="158" t="s">
        <v>916</v>
      </c>
      <c r="O3" s="158" t="s">
        <v>915</v>
      </c>
      <c r="P3" s="158" t="str">
        <f>LEFT(F3,FIND("-",F3,1)-1)&amp;","</f>
        <v>0,</v>
      </c>
      <c r="Q3" s="169" t="str">
        <f>RIGHT(F3,FIND("-",F3,1)-1)</f>
        <v>1</v>
      </c>
      <c r="R3" t="str">
        <f>"("&amp;_xlfn.CONCAT(I3:Q3)&amp;"),"</f>
        <v>('0',2,13,1,6,3,13,0,1),</v>
      </c>
    </row>
    <row r="4" spans="1:18">
      <c r="A4" s="5" t="s">
        <v>0</v>
      </c>
      <c r="B4" s="5">
        <v>2</v>
      </c>
      <c r="C4" s="4">
        <v>13</v>
      </c>
      <c r="D4" s="6" t="s">
        <v>12</v>
      </c>
      <c r="E4" s="5">
        <v>3</v>
      </c>
      <c r="F4" s="5" t="s">
        <v>46</v>
      </c>
      <c r="G4" s="4">
        <v>13</v>
      </c>
      <c r="I4" t="str">
        <f t="shared" si="0"/>
        <v>'1/8',</v>
      </c>
      <c r="J4" s="158" t="str">
        <f t="shared" si="1"/>
        <v>2,</v>
      </c>
      <c r="K4" s="158" t="str">
        <f t="shared" ref="K4:K36" si="4">C4&amp;","</f>
        <v>13,</v>
      </c>
      <c r="L4" s="158" t="str">
        <f t="shared" si="2"/>
        <v>7,</v>
      </c>
      <c r="M4" s="169" t="str">
        <f t="shared" si="3"/>
        <v>6,</v>
      </c>
      <c r="N4" s="1" t="str">
        <f>E4&amp;","</f>
        <v>3,</v>
      </c>
      <c r="O4" s="158" t="str">
        <f>G4&amp;","</f>
        <v>13,</v>
      </c>
      <c r="P4" s="158" t="str">
        <f>LEFT(F4,FIND("-",F4,1)-1)&amp;","</f>
        <v>2,</v>
      </c>
      <c r="Q4" s="169" t="str">
        <f t="shared" ref="Q4:Q36" si="5">RIGHT(F4,FIND("-",F4,1)-1)</f>
        <v>3</v>
      </c>
      <c r="R4" t="str">
        <f t="shared" ref="R4:R36" si="6">"("&amp;_xlfn.CONCAT(I4:Q4)&amp;"),"</f>
        <v>('1/8',2,13,7,6,3,13,2,3),</v>
      </c>
    </row>
    <row r="5" spans="1:18">
      <c r="A5" s="5" t="s">
        <v>1</v>
      </c>
      <c r="B5" s="5">
        <v>2</v>
      </c>
      <c r="C5" s="4">
        <v>13</v>
      </c>
      <c r="D5" s="6" t="s">
        <v>13</v>
      </c>
      <c r="E5" s="5">
        <v>3</v>
      </c>
      <c r="F5" s="5" t="s">
        <v>47</v>
      </c>
      <c r="G5" s="4">
        <v>13</v>
      </c>
      <c r="I5" t="str">
        <f t="shared" si="0"/>
        <v>'1/4',</v>
      </c>
      <c r="J5" s="158" t="str">
        <f t="shared" si="1"/>
        <v>2,</v>
      </c>
      <c r="K5" s="158" t="str">
        <f t="shared" si="4"/>
        <v>13,</v>
      </c>
      <c r="L5" s="158" t="str">
        <f t="shared" si="2"/>
        <v>36,</v>
      </c>
      <c r="M5" s="169" t="str">
        <f t="shared" si="3"/>
        <v>49,</v>
      </c>
      <c r="N5" s="1" t="str">
        <f t="shared" ref="N5:N36" si="7">E5&amp;","</f>
        <v>3,</v>
      </c>
      <c r="O5" s="158" t="str">
        <f t="shared" ref="O5:O36" si="8">G5&amp;","</f>
        <v>13,</v>
      </c>
      <c r="P5" s="158" t="str">
        <f t="shared" ref="P5:P36" si="9">LEFT(F5,FIND("-",F5,1)-1)&amp;","</f>
        <v>4,</v>
      </c>
      <c r="Q5" s="169" t="str">
        <f t="shared" si="5"/>
        <v>5</v>
      </c>
      <c r="R5" t="str">
        <f t="shared" si="6"/>
        <v>('1/4',2,13,36,49,3,13,4,5),</v>
      </c>
    </row>
    <row r="6" spans="1:18">
      <c r="A6" s="5" t="s">
        <v>2</v>
      </c>
      <c r="B6" s="5">
        <v>2</v>
      </c>
      <c r="C6" s="4">
        <v>13</v>
      </c>
      <c r="D6" s="6" t="s">
        <v>14</v>
      </c>
      <c r="E6" s="5">
        <v>3</v>
      </c>
      <c r="F6" s="5" t="s">
        <v>48</v>
      </c>
      <c r="G6" s="4">
        <v>13</v>
      </c>
      <c r="I6" t="str">
        <f t="shared" si="0"/>
        <v>'1/2',</v>
      </c>
      <c r="J6" s="158" t="str">
        <f t="shared" si="1"/>
        <v>2,</v>
      </c>
      <c r="K6" s="158" t="str">
        <f t="shared" si="4"/>
        <v>13,</v>
      </c>
      <c r="L6" s="158" t="str">
        <f t="shared" si="2"/>
        <v>50,</v>
      </c>
      <c r="M6" s="169" t="str">
        <f t="shared" si="3"/>
        <v>70,</v>
      </c>
      <c r="N6" s="1" t="str">
        <f t="shared" si="7"/>
        <v>3,</v>
      </c>
      <c r="O6" s="158" t="str">
        <f t="shared" si="8"/>
        <v>13,</v>
      </c>
      <c r="P6" s="158" t="str">
        <f t="shared" si="9"/>
        <v>6,</v>
      </c>
      <c r="Q6" s="169" t="str">
        <f t="shared" si="5"/>
        <v>8</v>
      </c>
      <c r="R6" t="str">
        <f t="shared" si="6"/>
        <v>('1/2',2,13,50,70,3,13,6,8),</v>
      </c>
    </row>
    <row r="7" spans="1:18">
      <c r="A7" s="5">
        <v>1</v>
      </c>
      <c r="B7" s="5">
        <v>2</v>
      </c>
      <c r="C7" s="4">
        <v>13</v>
      </c>
      <c r="D7" s="6" t="s">
        <v>15</v>
      </c>
      <c r="E7" s="5">
        <v>3</v>
      </c>
      <c r="F7" s="5" t="s">
        <v>49</v>
      </c>
      <c r="G7" s="4">
        <v>13</v>
      </c>
      <c r="I7" t="str">
        <f t="shared" si="0"/>
        <v>'1',</v>
      </c>
      <c r="J7" s="158" t="str">
        <f t="shared" si="1"/>
        <v>2,</v>
      </c>
      <c r="K7" s="158" t="str">
        <f t="shared" si="4"/>
        <v>13,</v>
      </c>
      <c r="L7" s="158" t="str">
        <f t="shared" si="2"/>
        <v>71,</v>
      </c>
      <c r="M7" s="169" t="str">
        <f t="shared" si="3"/>
        <v>85,</v>
      </c>
      <c r="N7" s="1" t="str">
        <f t="shared" si="7"/>
        <v>3,</v>
      </c>
      <c r="O7" s="158" t="str">
        <f t="shared" si="8"/>
        <v>13,</v>
      </c>
      <c r="P7" s="158" t="str">
        <f t="shared" si="9"/>
        <v>9,</v>
      </c>
      <c r="Q7" s="169" t="str">
        <f t="shared" si="5"/>
        <v>4</v>
      </c>
      <c r="R7" t="str">
        <f t="shared" si="6"/>
        <v>('1',2,13,71,85,3,13,9,4),</v>
      </c>
    </row>
    <row r="8" spans="1:18">
      <c r="A8" s="5">
        <v>2</v>
      </c>
      <c r="B8" s="5">
        <v>2</v>
      </c>
      <c r="C8" s="4">
        <v>13</v>
      </c>
      <c r="D8" s="6" t="s">
        <v>16</v>
      </c>
      <c r="E8" s="5">
        <v>3</v>
      </c>
      <c r="F8" s="5" t="s">
        <v>50</v>
      </c>
      <c r="G8" s="4">
        <v>13</v>
      </c>
      <c r="I8" t="str">
        <f t="shared" si="0"/>
        <v>'2',</v>
      </c>
      <c r="J8" s="158" t="str">
        <f t="shared" si="1"/>
        <v>2,</v>
      </c>
      <c r="K8" s="158" t="str">
        <f t="shared" si="4"/>
        <v>13,</v>
      </c>
      <c r="L8" s="158" t="str">
        <f t="shared" si="2"/>
        <v>86,</v>
      </c>
      <c r="M8" s="169" t="str">
        <f t="shared" si="3"/>
        <v>00,</v>
      </c>
      <c r="N8" s="1" t="str">
        <f t="shared" si="7"/>
        <v>3,</v>
      </c>
      <c r="O8" s="158" t="str">
        <f t="shared" si="8"/>
        <v>13,</v>
      </c>
      <c r="P8" s="158" t="str">
        <f t="shared" si="9"/>
        <v>15,</v>
      </c>
      <c r="Q8" s="169" t="str">
        <f t="shared" si="5"/>
        <v>20</v>
      </c>
      <c r="R8" t="str">
        <f t="shared" si="6"/>
        <v>('2',2,13,86,00,3,13,15,20),</v>
      </c>
    </row>
    <row r="9" spans="1:18">
      <c r="A9" s="167">
        <v>3</v>
      </c>
      <c r="B9" s="159">
        <v>2</v>
      </c>
      <c r="C9" s="160">
        <v>13</v>
      </c>
      <c r="D9" s="161" t="s">
        <v>17</v>
      </c>
      <c r="E9" s="159">
        <v>4</v>
      </c>
      <c r="F9" s="159" t="s">
        <v>51</v>
      </c>
      <c r="G9" s="162">
        <v>13</v>
      </c>
      <c r="I9" t="str">
        <f t="shared" si="0"/>
        <v>'3',</v>
      </c>
      <c r="J9" s="158" t="str">
        <f t="shared" si="1"/>
        <v>2,</v>
      </c>
      <c r="K9" s="158" t="str">
        <f t="shared" si="4"/>
        <v>13,</v>
      </c>
      <c r="L9" s="158" t="str">
        <f t="shared" si="2"/>
        <v>101,</v>
      </c>
      <c r="M9" s="169" t="str">
        <f t="shared" si="3"/>
        <v>115,</v>
      </c>
      <c r="N9" s="1" t="str">
        <f t="shared" si="7"/>
        <v>4,</v>
      </c>
      <c r="O9" s="158" t="str">
        <f t="shared" si="8"/>
        <v>13,</v>
      </c>
      <c r="P9" s="158" t="str">
        <f t="shared" si="9"/>
        <v>21,</v>
      </c>
      <c r="Q9" s="169" t="str">
        <f t="shared" si="5"/>
        <v>26</v>
      </c>
      <c r="R9" t="str">
        <f t="shared" si="6"/>
        <v>('3',2,13,101,115,4,13,21,26),</v>
      </c>
    </row>
    <row r="10" spans="1:18">
      <c r="A10" s="5">
        <v>4</v>
      </c>
      <c r="B10" s="5">
        <v>2</v>
      </c>
      <c r="C10" s="4">
        <v>14</v>
      </c>
      <c r="D10" s="6" t="s">
        <v>18</v>
      </c>
      <c r="E10" s="5">
        <v>5</v>
      </c>
      <c r="F10" s="5" t="s">
        <v>52</v>
      </c>
      <c r="G10" s="4">
        <v>14</v>
      </c>
      <c r="I10" t="str">
        <f t="shared" si="0"/>
        <v>'4',</v>
      </c>
      <c r="J10" s="158" t="str">
        <f t="shared" si="1"/>
        <v>2,</v>
      </c>
      <c r="K10" s="158" t="str">
        <f t="shared" si="4"/>
        <v>14,</v>
      </c>
      <c r="L10" s="158" t="str">
        <f t="shared" si="2"/>
        <v>116,</v>
      </c>
      <c r="M10" s="169" t="str">
        <f t="shared" si="3"/>
        <v>130,</v>
      </c>
      <c r="N10" s="1" t="str">
        <f t="shared" si="7"/>
        <v>5,</v>
      </c>
      <c r="O10" s="158" t="str">
        <f t="shared" si="8"/>
        <v>14,</v>
      </c>
      <c r="P10" s="158" t="str">
        <f t="shared" si="9"/>
        <v>27,</v>
      </c>
      <c r="Q10" s="169" t="str">
        <f t="shared" si="5"/>
        <v>32</v>
      </c>
      <c r="R10" t="str">
        <f t="shared" si="6"/>
        <v>('4',2,14,116,130,5,14,27,32),</v>
      </c>
    </row>
    <row r="11" spans="1:18">
      <c r="A11" s="5">
        <v>5</v>
      </c>
      <c r="B11" s="5">
        <v>3</v>
      </c>
      <c r="C11" s="4">
        <v>15</v>
      </c>
      <c r="D11" s="6" t="s">
        <v>19</v>
      </c>
      <c r="E11" s="5">
        <v>6</v>
      </c>
      <c r="F11" s="5" t="s">
        <v>53</v>
      </c>
      <c r="G11" s="4">
        <v>15</v>
      </c>
      <c r="I11" t="str">
        <f t="shared" si="0"/>
        <v>'5',</v>
      </c>
      <c r="J11" s="158" t="str">
        <f t="shared" si="1"/>
        <v>3,</v>
      </c>
      <c r="K11" s="158" t="str">
        <f t="shared" si="4"/>
        <v>15,</v>
      </c>
      <c r="L11" s="158" t="str">
        <f t="shared" si="2"/>
        <v>131,</v>
      </c>
      <c r="M11" s="169" t="str">
        <f t="shared" si="3"/>
        <v>145,</v>
      </c>
      <c r="N11" s="1" t="str">
        <f t="shared" si="7"/>
        <v>6,</v>
      </c>
      <c r="O11" s="158" t="str">
        <f t="shared" si="8"/>
        <v>15,</v>
      </c>
      <c r="P11" s="158" t="str">
        <f t="shared" si="9"/>
        <v>33,</v>
      </c>
      <c r="Q11" s="169" t="str">
        <f t="shared" si="5"/>
        <v>38</v>
      </c>
      <c r="R11" t="str">
        <f t="shared" si="6"/>
        <v>('5',3,15,131,145,6,15,33,38),</v>
      </c>
    </row>
    <row r="12" spans="1:18">
      <c r="A12" s="5">
        <v>6</v>
      </c>
      <c r="B12" s="5">
        <v>3</v>
      </c>
      <c r="C12" s="4">
        <v>15</v>
      </c>
      <c r="D12" s="6" t="s">
        <v>20</v>
      </c>
      <c r="E12" s="5">
        <v>6</v>
      </c>
      <c r="F12" s="5" t="s">
        <v>54</v>
      </c>
      <c r="G12" s="4">
        <v>15</v>
      </c>
      <c r="I12" t="str">
        <f t="shared" si="0"/>
        <v>'6',</v>
      </c>
      <c r="J12" s="158" t="str">
        <f t="shared" si="1"/>
        <v>3,</v>
      </c>
      <c r="K12" s="158" t="str">
        <f t="shared" si="4"/>
        <v>15,</v>
      </c>
      <c r="L12" s="158" t="str">
        <f t="shared" si="2"/>
        <v>146,</v>
      </c>
      <c r="M12" s="169" t="str">
        <f t="shared" si="3"/>
        <v>160,</v>
      </c>
      <c r="N12" s="1" t="str">
        <f t="shared" si="7"/>
        <v>6,</v>
      </c>
      <c r="O12" s="158" t="str">
        <f t="shared" si="8"/>
        <v>15,</v>
      </c>
      <c r="P12" s="158" t="str">
        <f t="shared" si="9"/>
        <v>39,</v>
      </c>
      <c r="Q12" s="169" t="str">
        <f t="shared" si="5"/>
        <v>44</v>
      </c>
      <c r="R12" t="str">
        <f t="shared" si="6"/>
        <v>('6',3,15,146,160,6,15,39,44),</v>
      </c>
    </row>
    <row r="13" spans="1:18">
      <c r="A13" s="5">
        <v>7</v>
      </c>
      <c r="B13" s="5">
        <v>3</v>
      </c>
      <c r="C13" s="4">
        <v>15</v>
      </c>
      <c r="D13" s="6" t="s">
        <v>21</v>
      </c>
      <c r="E13" s="5">
        <v>6</v>
      </c>
      <c r="F13" s="5" t="s">
        <v>55</v>
      </c>
      <c r="G13" s="4">
        <v>15</v>
      </c>
      <c r="I13" t="str">
        <f t="shared" si="0"/>
        <v>'7',</v>
      </c>
      <c r="J13" s="158" t="str">
        <f t="shared" si="1"/>
        <v>3,</v>
      </c>
      <c r="K13" s="158" t="str">
        <f t="shared" si="4"/>
        <v>15,</v>
      </c>
      <c r="L13" s="158" t="str">
        <f t="shared" si="2"/>
        <v>161,</v>
      </c>
      <c r="M13" s="169" t="str">
        <f t="shared" si="3"/>
        <v>175,</v>
      </c>
      <c r="N13" s="1" t="str">
        <f t="shared" si="7"/>
        <v>6,</v>
      </c>
      <c r="O13" s="158" t="str">
        <f t="shared" si="8"/>
        <v>15,</v>
      </c>
      <c r="P13" s="158" t="str">
        <f t="shared" si="9"/>
        <v>45,</v>
      </c>
      <c r="Q13" s="169" t="str">
        <f t="shared" si="5"/>
        <v>50</v>
      </c>
      <c r="R13" t="str">
        <f t="shared" si="6"/>
        <v>('7',3,15,161,175,6,15,45,50),</v>
      </c>
    </row>
    <row r="14" spans="1:18">
      <c r="A14" s="5">
        <v>8</v>
      </c>
      <c r="B14" s="5">
        <v>3</v>
      </c>
      <c r="C14" s="4">
        <v>16</v>
      </c>
      <c r="D14" s="6" t="s">
        <v>22</v>
      </c>
      <c r="E14" s="5">
        <v>7</v>
      </c>
      <c r="F14" s="5" t="s">
        <v>56</v>
      </c>
      <c r="G14" s="4">
        <v>16</v>
      </c>
      <c r="I14" t="str">
        <f t="shared" si="0"/>
        <v>'8',</v>
      </c>
      <c r="J14" s="158" t="str">
        <f t="shared" si="1"/>
        <v>3,</v>
      </c>
      <c r="K14" s="158" t="str">
        <f t="shared" si="4"/>
        <v>16,</v>
      </c>
      <c r="L14" s="158" t="str">
        <f t="shared" si="2"/>
        <v>176,</v>
      </c>
      <c r="M14" s="169" t="str">
        <f t="shared" si="3"/>
        <v>190,</v>
      </c>
      <c r="N14" s="1" t="str">
        <f t="shared" si="7"/>
        <v>7,</v>
      </c>
      <c r="O14" s="158" t="str">
        <f t="shared" si="8"/>
        <v>16,</v>
      </c>
      <c r="P14" s="158" t="str">
        <f t="shared" si="9"/>
        <v>51,</v>
      </c>
      <c r="Q14" s="169" t="str">
        <f t="shared" si="5"/>
        <v>56</v>
      </c>
      <c r="R14" t="str">
        <f t="shared" si="6"/>
        <v>('8',3,16,176,190,7,16,51,56),</v>
      </c>
    </row>
    <row r="15" spans="1:18">
      <c r="A15" s="5">
        <v>9</v>
      </c>
      <c r="B15" s="5">
        <v>4</v>
      </c>
      <c r="C15" s="4">
        <v>16</v>
      </c>
      <c r="D15" s="6" t="s">
        <v>23</v>
      </c>
      <c r="E15" s="5">
        <v>7</v>
      </c>
      <c r="F15" s="5" t="s">
        <v>57</v>
      </c>
      <c r="G15" s="4">
        <v>16</v>
      </c>
      <c r="I15" t="str">
        <f t="shared" si="0"/>
        <v>'9',</v>
      </c>
      <c r="J15" s="158" t="str">
        <f t="shared" si="1"/>
        <v>4,</v>
      </c>
      <c r="K15" s="158" t="str">
        <f t="shared" si="4"/>
        <v>16,</v>
      </c>
      <c r="L15" s="158" t="str">
        <f t="shared" si="2"/>
        <v>191,</v>
      </c>
      <c r="M15" s="169" t="str">
        <f t="shared" si="3"/>
        <v>205,</v>
      </c>
      <c r="N15" s="1" t="str">
        <f t="shared" si="7"/>
        <v>7,</v>
      </c>
      <c r="O15" s="158" t="str">
        <f t="shared" si="8"/>
        <v>16,</v>
      </c>
      <c r="P15" s="158" t="str">
        <f t="shared" si="9"/>
        <v>57,</v>
      </c>
      <c r="Q15" s="169" t="str">
        <f t="shared" si="5"/>
        <v>62</v>
      </c>
      <c r="R15" t="str">
        <f t="shared" si="6"/>
        <v>('9',4,16,191,205,7,16,57,62),</v>
      </c>
    </row>
    <row r="16" spans="1:18">
      <c r="A16" s="5">
        <v>10</v>
      </c>
      <c r="B16" s="5">
        <v>4</v>
      </c>
      <c r="C16" s="4">
        <v>17</v>
      </c>
      <c r="D16" s="6" t="s">
        <v>24</v>
      </c>
      <c r="E16" s="5">
        <v>7</v>
      </c>
      <c r="F16" s="5" t="s">
        <v>58</v>
      </c>
      <c r="G16" s="4">
        <v>17</v>
      </c>
      <c r="I16" t="str">
        <f t="shared" si="0"/>
        <v>'10',</v>
      </c>
      <c r="J16" s="158" t="str">
        <f t="shared" si="1"/>
        <v>4,</v>
      </c>
      <c r="K16" s="158" t="str">
        <f t="shared" si="4"/>
        <v>17,</v>
      </c>
      <c r="L16" s="158" t="str">
        <f t="shared" si="2"/>
        <v>206,</v>
      </c>
      <c r="M16" s="169" t="str">
        <f t="shared" si="3"/>
        <v>220,</v>
      </c>
      <c r="N16" s="1" t="str">
        <f t="shared" si="7"/>
        <v>7,</v>
      </c>
      <c r="O16" s="158" t="str">
        <f t="shared" si="8"/>
        <v>17,</v>
      </c>
      <c r="P16" s="158" t="str">
        <f t="shared" si="9"/>
        <v>63,</v>
      </c>
      <c r="Q16" s="169" t="str">
        <f t="shared" si="5"/>
        <v>68</v>
      </c>
      <c r="R16" t="str">
        <f t="shared" si="6"/>
        <v>('10',4,17,206,220,7,17,63,68),</v>
      </c>
    </row>
    <row r="17" spans="1:18">
      <c r="A17" s="5">
        <v>11</v>
      </c>
      <c r="B17" s="5">
        <v>4</v>
      </c>
      <c r="C17" s="4">
        <v>17</v>
      </c>
      <c r="D17" s="6" t="s">
        <v>25</v>
      </c>
      <c r="E17" s="5">
        <v>8</v>
      </c>
      <c r="F17" s="5" t="s">
        <v>59</v>
      </c>
      <c r="G17" s="4">
        <v>17</v>
      </c>
      <c r="I17" t="str">
        <f t="shared" si="0"/>
        <v>'11',</v>
      </c>
      <c r="J17" s="158" t="str">
        <f t="shared" si="1"/>
        <v>4,</v>
      </c>
      <c r="K17" s="158" t="str">
        <f t="shared" si="4"/>
        <v>17,</v>
      </c>
      <c r="L17" s="158" t="str">
        <f t="shared" si="2"/>
        <v>221,</v>
      </c>
      <c r="M17" s="169" t="str">
        <f t="shared" si="3"/>
        <v>235,</v>
      </c>
      <c r="N17" s="1" t="str">
        <f t="shared" si="7"/>
        <v>8,</v>
      </c>
      <c r="O17" s="158" t="str">
        <f t="shared" si="8"/>
        <v>17,</v>
      </c>
      <c r="P17" s="158" t="str">
        <f t="shared" si="9"/>
        <v>69,</v>
      </c>
      <c r="Q17" s="169" t="str">
        <f t="shared" si="5"/>
        <v>74</v>
      </c>
      <c r="R17" t="str">
        <f t="shared" si="6"/>
        <v>('11',4,17,221,235,8,17,69,74),</v>
      </c>
    </row>
    <row r="18" spans="1:18">
      <c r="A18" s="5">
        <v>12</v>
      </c>
      <c r="B18" s="5">
        <v>4</v>
      </c>
      <c r="C18" s="4">
        <v>17</v>
      </c>
      <c r="D18" s="6" t="s">
        <v>26</v>
      </c>
      <c r="E18" s="5">
        <v>8</v>
      </c>
      <c r="F18" s="5" t="s">
        <v>60</v>
      </c>
      <c r="G18" s="4">
        <v>17</v>
      </c>
      <c r="I18" t="str">
        <f t="shared" si="0"/>
        <v>'12',</v>
      </c>
      <c r="J18" s="158" t="str">
        <f t="shared" si="1"/>
        <v>4,</v>
      </c>
      <c r="K18" s="158" t="str">
        <f t="shared" si="4"/>
        <v>17,</v>
      </c>
      <c r="L18" s="158" t="str">
        <f t="shared" si="2"/>
        <v>236,</v>
      </c>
      <c r="M18" s="169" t="str">
        <f t="shared" si="3"/>
        <v>250,</v>
      </c>
      <c r="N18" s="1" t="str">
        <f t="shared" si="7"/>
        <v>8,</v>
      </c>
      <c r="O18" s="158" t="str">
        <f t="shared" si="8"/>
        <v>17,</v>
      </c>
      <c r="P18" s="158" t="str">
        <f t="shared" si="9"/>
        <v>75,</v>
      </c>
      <c r="Q18" s="169" t="str">
        <f t="shared" si="5"/>
        <v>80</v>
      </c>
      <c r="R18" t="str">
        <f t="shared" si="6"/>
        <v>('12',4,17,236,250,8,17,75,80),</v>
      </c>
    </row>
    <row r="19" spans="1:18">
      <c r="A19" s="5">
        <v>13</v>
      </c>
      <c r="B19" s="5">
        <v>5</v>
      </c>
      <c r="C19" s="4">
        <v>18</v>
      </c>
      <c r="D19" s="6" t="s">
        <v>27</v>
      </c>
      <c r="E19" s="5">
        <v>8</v>
      </c>
      <c r="F19" s="5" t="s">
        <v>61</v>
      </c>
      <c r="G19" s="4">
        <v>18</v>
      </c>
      <c r="I19" t="str">
        <f t="shared" si="0"/>
        <v>'13',</v>
      </c>
      <c r="J19" s="158" t="str">
        <f t="shared" si="1"/>
        <v>5,</v>
      </c>
      <c r="K19" s="158" t="str">
        <f t="shared" si="4"/>
        <v>18,</v>
      </c>
      <c r="L19" s="158" t="str">
        <f t="shared" si="2"/>
        <v>251,</v>
      </c>
      <c r="M19" s="169" t="str">
        <f t="shared" si="3"/>
        <v>265,</v>
      </c>
      <c r="N19" s="1" t="str">
        <f t="shared" si="7"/>
        <v>8,</v>
      </c>
      <c r="O19" s="158" t="str">
        <f t="shared" si="8"/>
        <v>18,</v>
      </c>
      <c r="P19" s="158" t="str">
        <f t="shared" si="9"/>
        <v>81,</v>
      </c>
      <c r="Q19" s="169" t="str">
        <f t="shared" si="5"/>
        <v>86</v>
      </c>
      <c r="R19" t="str">
        <f t="shared" si="6"/>
        <v>('13',5,18,251,265,8,18,81,86),</v>
      </c>
    </row>
    <row r="20" spans="1:18">
      <c r="A20" s="5">
        <v>14</v>
      </c>
      <c r="B20" s="5">
        <v>5</v>
      </c>
      <c r="C20" s="4">
        <v>18</v>
      </c>
      <c r="D20" s="6" t="s">
        <v>28</v>
      </c>
      <c r="E20" s="5">
        <v>8</v>
      </c>
      <c r="F20" s="5" t="s">
        <v>62</v>
      </c>
      <c r="G20" s="4">
        <v>18</v>
      </c>
      <c r="I20" t="str">
        <f t="shared" si="0"/>
        <v>'14',</v>
      </c>
      <c r="J20" s="158" t="str">
        <f t="shared" si="1"/>
        <v>5,</v>
      </c>
      <c r="K20" s="158" t="str">
        <f t="shared" si="4"/>
        <v>18,</v>
      </c>
      <c r="L20" s="158" t="str">
        <f t="shared" si="2"/>
        <v>266,</v>
      </c>
      <c r="M20" s="169" t="str">
        <f t="shared" si="3"/>
        <v>280,</v>
      </c>
      <c r="N20" s="1" t="str">
        <f t="shared" si="7"/>
        <v>8,</v>
      </c>
      <c r="O20" s="158" t="str">
        <f t="shared" si="8"/>
        <v>18,</v>
      </c>
      <c r="P20" s="158" t="str">
        <f t="shared" si="9"/>
        <v>87,</v>
      </c>
      <c r="Q20" s="169" t="str">
        <f t="shared" si="5"/>
        <v>92</v>
      </c>
      <c r="R20" t="str">
        <f t="shared" si="6"/>
        <v>('14',5,18,266,280,8,18,87,92),</v>
      </c>
    </row>
    <row r="21" spans="1:18">
      <c r="A21" s="5">
        <v>15</v>
      </c>
      <c r="B21" s="5">
        <v>5</v>
      </c>
      <c r="C21" s="4">
        <v>18</v>
      </c>
      <c r="D21" s="6" t="s">
        <v>29</v>
      </c>
      <c r="E21" s="5">
        <v>8</v>
      </c>
      <c r="F21" s="5" t="s">
        <v>63</v>
      </c>
      <c r="G21" s="4">
        <v>18</v>
      </c>
      <c r="I21" t="str">
        <f t="shared" si="0"/>
        <v>'15',</v>
      </c>
      <c r="J21" s="158" t="str">
        <f t="shared" si="1"/>
        <v>5,</v>
      </c>
      <c r="K21" s="158" t="str">
        <f t="shared" si="4"/>
        <v>18,</v>
      </c>
      <c r="L21" s="158" t="str">
        <f t="shared" si="2"/>
        <v>281,</v>
      </c>
      <c r="M21" s="169" t="str">
        <f t="shared" si="3"/>
        <v>295,</v>
      </c>
      <c r="N21" s="1" t="str">
        <f t="shared" si="7"/>
        <v>8,</v>
      </c>
      <c r="O21" s="158" t="str">
        <f t="shared" si="8"/>
        <v>18,</v>
      </c>
      <c r="P21" s="158" t="str">
        <f t="shared" si="9"/>
        <v>93,</v>
      </c>
      <c r="Q21" s="169" t="str">
        <f t="shared" si="5"/>
        <v>98</v>
      </c>
      <c r="R21" t="str">
        <f t="shared" si="6"/>
        <v>('15',5,18,281,295,8,18,93,98),</v>
      </c>
    </row>
    <row r="22" spans="1:18">
      <c r="A22" s="5">
        <v>16</v>
      </c>
      <c r="B22" s="5">
        <v>5</v>
      </c>
      <c r="C22" s="4">
        <v>18</v>
      </c>
      <c r="D22" s="6" t="s">
        <v>30</v>
      </c>
      <c r="E22" s="5">
        <v>9</v>
      </c>
      <c r="F22" s="5" t="s">
        <v>64</v>
      </c>
      <c r="G22" s="4">
        <v>18</v>
      </c>
      <c r="I22" t="str">
        <f t="shared" si="0"/>
        <v>'16',</v>
      </c>
      <c r="J22" s="158" t="str">
        <f t="shared" si="1"/>
        <v>5,</v>
      </c>
      <c r="K22" s="158" t="str">
        <f t="shared" si="4"/>
        <v>18,</v>
      </c>
      <c r="L22" s="158" t="str">
        <f t="shared" si="2"/>
        <v>296,</v>
      </c>
      <c r="M22" s="169" t="str">
        <f t="shared" si="3"/>
        <v>310,</v>
      </c>
      <c r="N22" s="1" t="str">
        <f t="shared" si="7"/>
        <v>9,</v>
      </c>
      <c r="O22" s="158" t="str">
        <f t="shared" si="8"/>
        <v>18,</v>
      </c>
      <c r="P22" s="158" t="str">
        <f t="shared" si="9"/>
        <v>99,</v>
      </c>
      <c r="Q22" s="169" t="str">
        <f t="shared" si="5"/>
        <v>04</v>
      </c>
      <c r="R22" t="str">
        <f t="shared" si="6"/>
        <v>('16',5,18,296,310,9,18,99,04),</v>
      </c>
    </row>
    <row r="23" spans="1:18">
      <c r="A23" s="5">
        <v>17</v>
      </c>
      <c r="B23" s="5">
        <v>6</v>
      </c>
      <c r="C23" s="4">
        <v>19</v>
      </c>
      <c r="D23" s="6" t="s">
        <v>31</v>
      </c>
      <c r="E23" s="5">
        <v>10</v>
      </c>
      <c r="F23" s="5" t="s">
        <v>65</v>
      </c>
      <c r="G23" s="4">
        <v>19</v>
      </c>
      <c r="I23" t="str">
        <f t="shared" si="0"/>
        <v>'17',</v>
      </c>
      <c r="J23" s="158" t="str">
        <f t="shared" si="1"/>
        <v>6,</v>
      </c>
      <c r="K23" s="158" t="str">
        <f t="shared" si="4"/>
        <v>19,</v>
      </c>
      <c r="L23" s="158" t="str">
        <f t="shared" si="2"/>
        <v>311,</v>
      </c>
      <c r="M23" s="169" t="str">
        <f t="shared" si="3"/>
        <v>325,</v>
      </c>
      <c r="N23" s="1" t="str">
        <f t="shared" si="7"/>
        <v>10,</v>
      </c>
      <c r="O23" s="158" t="str">
        <f t="shared" si="8"/>
        <v>19,</v>
      </c>
      <c r="P23" s="158" t="str">
        <f t="shared" si="9"/>
        <v>105,</v>
      </c>
      <c r="Q23" s="169" t="str">
        <f t="shared" si="5"/>
        <v>110</v>
      </c>
      <c r="R23" t="str">
        <f t="shared" si="6"/>
        <v>('17',6,19,311,325,10,19,105,110),</v>
      </c>
    </row>
    <row r="24" spans="1:18">
      <c r="A24" s="5">
        <v>18</v>
      </c>
      <c r="B24" s="5">
        <v>6</v>
      </c>
      <c r="C24" s="4">
        <v>19</v>
      </c>
      <c r="D24" s="6" t="s">
        <v>32</v>
      </c>
      <c r="E24" s="5">
        <v>10</v>
      </c>
      <c r="F24" s="5" t="s">
        <v>66</v>
      </c>
      <c r="G24" s="4">
        <v>19</v>
      </c>
      <c r="I24" t="str">
        <f t="shared" si="0"/>
        <v>'18',</v>
      </c>
      <c r="J24" s="158" t="str">
        <f t="shared" si="1"/>
        <v>6,</v>
      </c>
      <c r="K24" s="158" t="str">
        <f t="shared" si="4"/>
        <v>19,</v>
      </c>
      <c r="L24" s="158" t="str">
        <f t="shared" si="2"/>
        <v>326,</v>
      </c>
      <c r="M24" s="169" t="str">
        <f t="shared" si="3"/>
        <v>340,</v>
      </c>
      <c r="N24" s="1" t="str">
        <f t="shared" si="7"/>
        <v>10,</v>
      </c>
      <c r="O24" s="158" t="str">
        <f t="shared" si="8"/>
        <v>19,</v>
      </c>
      <c r="P24" s="158" t="str">
        <f t="shared" si="9"/>
        <v>111,</v>
      </c>
      <c r="Q24" s="169" t="str">
        <f t="shared" si="5"/>
        <v>116</v>
      </c>
      <c r="R24" t="str">
        <f t="shared" si="6"/>
        <v>('18',6,19,326,340,10,19,111,116),</v>
      </c>
    </row>
    <row r="25" spans="1:18">
      <c r="A25" s="5">
        <v>19</v>
      </c>
      <c r="B25" s="5">
        <v>6</v>
      </c>
      <c r="C25" s="4">
        <v>19</v>
      </c>
      <c r="D25" s="6" t="s">
        <v>33</v>
      </c>
      <c r="E25" s="5">
        <v>10</v>
      </c>
      <c r="F25" s="5" t="s">
        <v>67</v>
      </c>
      <c r="G25" s="4">
        <v>19</v>
      </c>
      <c r="I25" t="str">
        <f t="shared" si="0"/>
        <v>'19',</v>
      </c>
      <c r="J25" s="158" t="str">
        <f t="shared" si="1"/>
        <v>6,</v>
      </c>
      <c r="K25" s="158" t="str">
        <f t="shared" si="4"/>
        <v>19,</v>
      </c>
      <c r="L25" s="158" t="str">
        <f t="shared" si="2"/>
        <v>341,</v>
      </c>
      <c r="M25" s="169" t="str">
        <f t="shared" si="3"/>
        <v>355,</v>
      </c>
      <c r="N25" s="1" t="str">
        <f t="shared" si="7"/>
        <v>10,</v>
      </c>
      <c r="O25" s="158" t="str">
        <f t="shared" si="8"/>
        <v>19,</v>
      </c>
      <c r="P25" s="158" t="str">
        <f t="shared" si="9"/>
        <v>117,</v>
      </c>
      <c r="Q25" s="169" t="str">
        <f t="shared" si="5"/>
        <v>122</v>
      </c>
      <c r="R25" t="str">
        <f t="shared" si="6"/>
        <v>('19',6,19,341,355,10,19,117,122),</v>
      </c>
    </row>
    <row r="26" spans="1:18">
      <c r="A26" s="5">
        <v>20</v>
      </c>
      <c r="B26" s="5">
        <v>6</v>
      </c>
      <c r="C26" s="4">
        <v>19</v>
      </c>
      <c r="D26" s="6" t="s">
        <v>34</v>
      </c>
      <c r="E26" s="5">
        <v>10</v>
      </c>
      <c r="F26" s="5" t="s">
        <v>68</v>
      </c>
      <c r="G26" s="4">
        <v>19</v>
      </c>
      <c r="I26" t="str">
        <f t="shared" si="0"/>
        <v>'20',</v>
      </c>
      <c r="J26" s="158" t="str">
        <f t="shared" si="1"/>
        <v>6,</v>
      </c>
      <c r="K26" s="158" t="str">
        <f t="shared" si="4"/>
        <v>19,</v>
      </c>
      <c r="L26" s="158" t="str">
        <f t="shared" si="2"/>
        <v>356,</v>
      </c>
      <c r="M26" s="169" t="str">
        <f t="shared" si="3"/>
        <v>400,</v>
      </c>
      <c r="N26" s="1" t="str">
        <f t="shared" si="7"/>
        <v>10,</v>
      </c>
      <c r="O26" s="158" t="str">
        <f t="shared" si="8"/>
        <v>19,</v>
      </c>
      <c r="P26" s="158" t="str">
        <f t="shared" si="9"/>
        <v>123,</v>
      </c>
      <c r="Q26" s="169" t="str">
        <f t="shared" si="5"/>
        <v>140</v>
      </c>
      <c r="R26" t="str">
        <f t="shared" si="6"/>
        <v>('20',6,19,356,400,10,19,123,140),</v>
      </c>
    </row>
    <row r="27" spans="1:18">
      <c r="A27" s="5">
        <v>21</v>
      </c>
      <c r="B27" s="5">
        <v>7</v>
      </c>
      <c r="C27" s="4">
        <v>19</v>
      </c>
      <c r="D27" s="6" t="s">
        <v>35</v>
      </c>
      <c r="E27" s="5">
        <v>11</v>
      </c>
      <c r="F27" s="5" t="s">
        <v>69</v>
      </c>
      <c r="G27" s="4">
        <v>20</v>
      </c>
      <c r="I27" t="str">
        <f t="shared" si="0"/>
        <v>'21',</v>
      </c>
      <c r="J27" s="158" t="str">
        <f t="shared" si="1"/>
        <v>7,</v>
      </c>
      <c r="K27" s="158" t="str">
        <f t="shared" si="4"/>
        <v>19,</v>
      </c>
      <c r="L27" s="158" t="str">
        <f t="shared" si="2"/>
        <v>401,</v>
      </c>
      <c r="M27" s="169" t="str">
        <f t="shared" si="3"/>
        <v>445,</v>
      </c>
      <c r="N27" s="1" t="str">
        <f t="shared" si="7"/>
        <v>11,</v>
      </c>
      <c r="O27" s="158" t="str">
        <f t="shared" si="8"/>
        <v>20,</v>
      </c>
      <c r="P27" s="158" t="str">
        <f t="shared" si="9"/>
        <v>141,</v>
      </c>
      <c r="Q27" s="169" t="str">
        <f t="shared" si="5"/>
        <v>158</v>
      </c>
      <c r="R27" t="str">
        <f t="shared" si="6"/>
        <v>('21',7,19,401,445,11,20,141,158),</v>
      </c>
    </row>
    <row r="28" spans="1:18">
      <c r="A28" s="5">
        <v>22</v>
      </c>
      <c r="B28" s="5">
        <v>7</v>
      </c>
      <c r="C28" s="4">
        <v>19</v>
      </c>
      <c r="D28" s="6" t="s">
        <v>36</v>
      </c>
      <c r="E28" s="5">
        <v>11</v>
      </c>
      <c r="F28" s="5" t="s">
        <v>70</v>
      </c>
      <c r="G28" s="4">
        <v>20</v>
      </c>
      <c r="I28" t="str">
        <f t="shared" si="0"/>
        <v>'22',</v>
      </c>
      <c r="J28" s="158" t="str">
        <f t="shared" si="1"/>
        <v>7,</v>
      </c>
      <c r="K28" s="158" t="str">
        <f t="shared" si="4"/>
        <v>19,</v>
      </c>
      <c r="L28" s="158" t="str">
        <f t="shared" si="2"/>
        <v>446,</v>
      </c>
      <c r="M28" s="169" t="str">
        <f t="shared" si="3"/>
        <v>490,</v>
      </c>
      <c r="N28" s="1" t="str">
        <f t="shared" si="7"/>
        <v>11,</v>
      </c>
      <c r="O28" s="158" t="str">
        <f t="shared" si="8"/>
        <v>20,</v>
      </c>
      <c r="P28" s="158" t="str">
        <f t="shared" si="9"/>
        <v>159,</v>
      </c>
      <c r="Q28" s="169" t="str">
        <f t="shared" si="5"/>
        <v>176</v>
      </c>
      <c r="R28" t="str">
        <f t="shared" si="6"/>
        <v>('22',7,19,446,490,11,20,159,176),</v>
      </c>
    </row>
    <row r="29" spans="1:18">
      <c r="A29" s="5">
        <v>23</v>
      </c>
      <c r="B29" s="5">
        <v>7</v>
      </c>
      <c r="C29" s="4">
        <v>19</v>
      </c>
      <c r="D29" s="6" t="s">
        <v>37</v>
      </c>
      <c r="E29" s="5">
        <v>11</v>
      </c>
      <c r="F29" s="5" t="s">
        <v>71</v>
      </c>
      <c r="G29" s="4">
        <v>20</v>
      </c>
      <c r="I29" t="str">
        <f t="shared" si="0"/>
        <v>'23',</v>
      </c>
      <c r="J29" s="158" t="str">
        <f t="shared" si="1"/>
        <v>7,</v>
      </c>
      <c r="K29" s="158" t="str">
        <f t="shared" si="4"/>
        <v>19,</v>
      </c>
      <c r="L29" s="158" t="str">
        <f t="shared" si="2"/>
        <v>491,</v>
      </c>
      <c r="M29" s="169" t="str">
        <f t="shared" si="3"/>
        <v>535,</v>
      </c>
      <c r="N29" s="1" t="str">
        <f t="shared" si="7"/>
        <v>11,</v>
      </c>
      <c r="O29" s="158" t="str">
        <f t="shared" si="8"/>
        <v>20,</v>
      </c>
      <c r="P29" s="158" t="str">
        <f t="shared" si="9"/>
        <v>177,</v>
      </c>
      <c r="Q29" s="169" t="str">
        <f t="shared" si="5"/>
        <v>194</v>
      </c>
      <c r="R29" t="str">
        <f t="shared" si="6"/>
        <v>('23',7,19,491,535,11,20,177,194),</v>
      </c>
    </row>
    <row r="30" spans="1:18">
      <c r="A30" s="5">
        <v>24</v>
      </c>
      <c r="B30" s="5">
        <v>7</v>
      </c>
      <c r="C30" s="4">
        <v>19</v>
      </c>
      <c r="D30" s="6" t="s">
        <v>38</v>
      </c>
      <c r="E30" s="5">
        <v>12</v>
      </c>
      <c r="F30" s="5" t="s">
        <v>72</v>
      </c>
      <c r="G30" s="4">
        <v>21</v>
      </c>
      <c r="I30" t="str">
        <f t="shared" si="0"/>
        <v>'24',</v>
      </c>
      <c r="J30" s="158" t="str">
        <f t="shared" si="1"/>
        <v>7,</v>
      </c>
      <c r="K30" s="158" t="str">
        <f t="shared" si="4"/>
        <v>19,</v>
      </c>
      <c r="L30" s="158" t="str">
        <f t="shared" si="2"/>
        <v>536,</v>
      </c>
      <c r="M30" s="169" t="str">
        <f t="shared" si="3"/>
        <v>580,</v>
      </c>
      <c r="N30" s="1" t="str">
        <f t="shared" si="7"/>
        <v>12,</v>
      </c>
      <c r="O30" s="158" t="str">
        <f t="shared" si="8"/>
        <v>21,</v>
      </c>
      <c r="P30" s="158" t="str">
        <f t="shared" si="9"/>
        <v>195,</v>
      </c>
      <c r="Q30" s="169" t="str">
        <f t="shared" si="5"/>
        <v>212</v>
      </c>
      <c r="R30" t="str">
        <f t="shared" si="6"/>
        <v>('24',7,19,536,580,12,21,195,212),</v>
      </c>
    </row>
    <row r="31" spans="1:18">
      <c r="A31" s="5">
        <v>25</v>
      </c>
      <c r="B31" s="5">
        <v>8</v>
      </c>
      <c r="C31" s="4">
        <v>19</v>
      </c>
      <c r="D31" s="6" t="s">
        <v>39</v>
      </c>
      <c r="E31" s="5">
        <v>12</v>
      </c>
      <c r="F31" s="5" t="s">
        <v>73</v>
      </c>
      <c r="G31" s="4">
        <v>21</v>
      </c>
      <c r="I31" t="str">
        <f t="shared" si="0"/>
        <v>'25',</v>
      </c>
      <c r="J31" s="158" t="str">
        <f t="shared" si="1"/>
        <v>8,</v>
      </c>
      <c r="K31" s="158" t="str">
        <f t="shared" si="4"/>
        <v>19,</v>
      </c>
      <c r="L31" s="158" t="str">
        <f t="shared" si="2"/>
        <v>581,</v>
      </c>
      <c r="M31" s="169" t="str">
        <f t="shared" si="3"/>
        <v>625,</v>
      </c>
      <c r="N31" s="1" t="str">
        <f t="shared" si="7"/>
        <v>12,</v>
      </c>
      <c r="O31" s="158" t="str">
        <f t="shared" si="8"/>
        <v>21,</v>
      </c>
      <c r="P31" s="158" t="str">
        <f t="shared" si="9"/>
        <v>213,</v>
      </c>
      <c r="Q31" s="169" t="str">
        <f t="shared" si="5"/>
        <v>230</v>
      </c>
      <c r="R31" t="str">
        <f t="shared" si="6"/>
        <v>('25',8,19,581,625,12,21,213,230),</v>
      </c>
    </row>
    <row r="32" spans="1:18">
      <c r="A32" s="5">
        <v>26</v>
      </c>
      <c r="B32" s="5">
        <v>8</v>
      </c>
      <c r="C32" s="4">
        <v>19</v>
      </c>
      <c r="D32" s="6" t="s">
        <v>40</v>
      </c>
      <c r="E32" s="5">
        <v>12</v>
      </c>
      <c r="F32" s="5" t="s">
        <v>74</v>
      </c>
      <c r="G32" s="4">
        <v>21</v>
      </c>
      <c r="I32" t="str">
        <f t="shared" si="0"/>
        <v>'26',</v>
      </c>
      <c r="J32" s="158" t="str">
        <f t="shared" si="1"/>
        <v>8,</v>
      </c>
      <c r="K32" s="158" t="str">
        <f t="shared" si="4"/>
        <v>19,</v>
      </c>
      <c r="L32" s="158" t="str">
        <f t="shared" si="2"/>
        <v>626,</v>
      </c>
      <c r="M32" s="169" t="str">
        <f t="shared" si="3"/>
        <v>670,</v>
      </c>
      <c r="N32" s="1" t="str">
        <f t="shared" si="7"/>
        <v>12,</v>
      </c>
      <c r="O32" s="158" t="str">
        <f t="shared" si="8"/>
        <v>21,</v>
      </c>
      <c r="P32" s="158" t="str">
        <f t="shared" si="9"/>
        <v>231,</v>
      </c>
      <c r="Q32" s="169" t="str">
        <f t="shared" si="5"/>
        <v>248</v>
      </c>
      <c r="R32" t="str">
        <f t="shared" si="6"/>
        <v>('26',8,19,626,670,12,21,231,248),</v>
      </c>
    </row>
    <row r="33" spans="1:18">
      <c r="A33" s="5">
        <v>27</v>
      </c>
      <c r="B33" s="5">
        <v>8</v>
      </c>
      <c r="C33" s="4">
        <v>19</v>
      </c>
      <c r="D33" s="6" t="s">
        <v>41</v>
      </c>
      <c r="E33" s="5">
        <v>13</v>
      </c>
      <c r="F33" s="5" t="s">
        <v>75</v>
      </c>
      <c r="G33" s="4">
        <v>22</v>
      </c>
      <c r="I33" t="str">
        <f t="shared" si="0"/>
        <v>'27',</v>
      </c>
      <c r="J33" s="158" t="str">
        <f t="shared" si="1"/>
        <v>8,</v>
      </c>
      <c r="K33" s="158" t="str">
        <f t="shared" si="4"/>
        <v>19,</v>
      </c>
      <c r="L33" s="158" t="str">
        <f t="shared" si="2"/>
        <v>671,</v>
      </c>
      <c r="M33" s="169" t="str">
        <f t="shared" si="3"/>
        <v>715,</v>
      </c>
      <c r="N33" s="1" t="str">
        <f t="shared" si="7"/>
        <v>13,</v>
      </c>
      <c r="O33" s="158" t="str">
        <f t="shared" si="8"/>
        <v>22,</v>
      </c>
      <c r="P33" s="158" t="str">
        <f t="shared" si="9"/>
        <v>249,</v>
      </c>
      <c r="Q33" s="169" t="str">
        <f t="shared" si="5"/>
        <v>266</v>
      </c>
      <c r="R33" t="str">
        <f t="shared" si="6"/>
        <v>('27',8,19,671,715,13,22,249,266),</v>
      </c>
    </row>
    <row r="34" spans="1:18">
      <c r="A34" s="5">
        <v>28</v>
      </c>
      <c r="B34" s="5">
        <v>8</v>
      </c>
      <c r="C34" s="4">
        <v>19</v>
      </c>
      <c r="D34" s="6" t="s">
        <v>42</v>
      </c>
      <c r="E34" s="5">
        <v>13</v>
      </c>
      <c r="F34" s="5" t="s">
        <v>76</v>
      </c>
      <c r="G34" s="4">
        <v>22</v>
      </c>
      <c r="I34" t="str">
        <f t="shared" si="0"/>
        <v>'28',</v>
      </c>
      <c r="J34" s="158" t="str">
        <f t="shared" si="1"/>
        <v>8,</v>
      </c>
      <c r="K34" s="158" t="str">
        <f t="shared" si="4"/>
        <v>19,</v>
      </c>
      <c r="L34" s="158" t="str">
        <f t="shared" si="2"/>
        <v>716,</v>
      </c>
      <c r="M34" s="169" t="str">
        <f t="shared" si="3"/>
        <v>760,</v>
      </c>
      <c r="N34" s="1" t="str">
        <f t="shared" si="7"/>
        <v>13,</v>
      </c>
      <c r="O34" s="158" t="str">
        <f t="shared" si="8"/>
        <v>22,</v>
      </c>
      <c r="P34" s="158" t="str">
        <f t="shared" si="9"/>
        <v>267,</v>
      </c>
      <c r="Q34" s="169" t="str">
        <f t="shared" si="5"/>
        <v>284</v>
      </c>
      <c r="R34" t="str">
        <f t="shared" si="6"/>
        <v>('28',8,19,716,760,13,22,267,284),</v>
      </c>
    </row>
    <row r="35" spans="1:18">
      <c r="A35" s="5">
        <v>29</v>
      </c>
      <c r="B35" s="5">
        <v>9</v>
      </c>
      <c r="C35" s="4">
        <v>19</v>
      </c>
      <c r="D35" s="6" t="s">
        <v>43</v>
      </c>
      <c r="E35" s="5">
        <v>13</v>
      </c>
      <c r="F35" s="5" t="s">
        <v>77</v>
      </c>
      <c r="G35" s="4">
        <v>22</v>
      </c>
      <c r="I35" t="str">
        <f t="shared" si="0"/>
        <v>'29',</v>
      </c>
      <c r="J35" s="158" t="str">
        <f t="shared" si="1"/>
        <v>9,</v>
      </c>
      <c r="K35" s="158" t="str">
        <f t="shared" si="4"/>
        <v>19,</v>
      </c>
      <c r="L35" s="158" t="str">
        <f t="shared" si="2"/>
        <v>761,</v>
      </c>
      <c r="M35" s="169" t="str">
        <f t="shared" si="3"/>
        <v>805,</v>
      </c>
      <c r="N35" s="1" t="str">
        <f t="shared" si="7"/>
        <v>13,</v>
      </c>
      <c r="O35" s="158" t="str">
        <f t="shared" si="8"/>
        <v>22,</v>
      </c>
      <c r="P35" s="158" t="str">
        <f t="shared" si="9"/>
        <v>285,</v>
      </c>
      <c r="Q35" s="169" t="str">
        <f t="shared" si="5"/>
        <v>302</v>
      </c>
      <c r="R35" t="str">
        <f t="shared" si="6"/>
        <v>('29',9,19,761,805,13,22,285,302),</v>
      </c>
    </row>
    <row r="36" spans="1:18">
      <c r="A36" s="5">
        <v>30</v>
      </c>
      <c r="B36" s="5">
        <v>9</v>
      </c>
      <c r="C36" s="4">
        <v>19</v>
      </c>
      <c r="D36" s="6" t="s">
        <v>44</v>
      </c>
      <c r="E36" s="5">
        <v>14</v>
      </c>
      <c r="F36" s="5" t="s">
        <v>78</v>
      </c>
      <c r="G36" s="4">
        <v>23</v>
      </c>
      <c r="I36" t="str">
        <f t="shared" si="0"/>
        <v>'30',</v>
      </c>
      <c r="J36" s="158" t="str">
        <f t="shared" si="1"/>
        <v>9,</v>
      </c>
      <c r="K36" s="158" t="str">
        <f t="shared" si="4"/>
        <v>19,</v>
      </c>
      <c r="L36" s="158" t="str">
        <f t="shared" si="2"/>
        <v>806,</v>
      </c>
      <c r="M36" s="169" t="str">
        <f t="shared" si="3"/>
        <v>860,</v>
      </c>
      <c r="N36" s="1" t="str">
        <f t="shared" si="7"/>
        <v>14,</v>
      </c>
      <c r="O36" s="158" t="str">
        <f t="shared" si="8"/>
        <v>23,</v>
      </c>
      <c r="P36" s="158" t="str">
        <f t="shared" si="9"/>
        <v>303,</v>
      </c>
      <c r="Q36" s="169" t="str">
        <f t="shared" si="5"/>
        <v>320</v>
      </c>
      <c r="R36" t="str">
        <f t="shared" si="6"/>
        <v>('30',9,19,806,860,14,23,303,320),</v>
      </c>
    </row>
  </sheetData>
  <mergeCells count="4">
    <mergeCell ref="C1:D1"/>
    <mergeCell ref="E1:G1"/>
    <mergeCell ref="K1:M1"/>
    <mergeCell ref="N1:Q1"/>
  </mergeCells>
  <pageMargins left="0.7" right="0.7" top="0.75" bottom="0.75" header="0.3" footer="0.3"/>
  <pageSetup orientation="portrait" horizontalDpi="360" verticalDpi="36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C8"/>
  <sheetViews>
    <sheetView workbookViewId="0">
      <selection activeCell="C20" sqref="C20"/>
    </sheetView>
  </sheetViews>
  <sheetFormatPr defaultRowHeight="14.4"/>
  <cols>
    <col min="1" max="1" width="8.21875" bestFit="1" customWidth="1"/>
    <col min="2" max="2" width="11.44140625" bestFit="1" customWidth="1"/>
  </cols>
  <sheetData>
    <row r="1" spans="1:3">
      <c r="A1" s="2" t="s">
        <v>450</v>
      </c>
      <c r="B1" s="2" t="s">
        <v>427</v>
      </c>
      <c r="C1" s="2" t="s">
        <v>450</v>
      </c>
    </row>
    <row r="2" spans="1:3">
      <c r="A2" s="18">
        <v>1</v>
      </c>
      <c r="B2" s="18">
        <v>1</v>
      </c>
      <c r="C2">
        <v>1</v>
      </c>
    </row>
    <row r="3" spans="1:3">
      <c r="A3">
        <v>4</v>
      </c>
      <c r="B3">
        <v>2.5</v>
      </c>
      <c r="C3">
        <v>4</v>
      </c>
    </row>
    <row r="4" spans="1:3">
      <c r="A4">
        <v>6</v>
      </c>
      <c r="B4">
        <v>3.5</v>
      </c>
      <c r="C4">
        <v>6</v>
      </c>
    </row>
    <row r="5" spans="1:3">
      <c r="A5">
        <v>8</v>
      </c>
      <c r="B5">
        <v>4.5</v>
      </c>
      <c r="C5">
        <v>8</v>
      </c>
    </row>
    <row r="6" spans="1:3">
      <c r="A6">
        <v>10</v>
      </c>
      <c r="B6">
        <v>5.5</v>
      </c>
      <c r="C6">
        <v>10</v>
      </c>
    </row>
    <row r="7" spans="1:3">
      <c r="A7">
        <v>12</v>
      </c>
      <c r="B7">
        <v>6.5</v>
      </c>
      <c r="C7">
        <v>12</v>
      </c>
    </row>
    <row r="8" spans="1:3">
      <c r="A8">
        <v>20</v>
      </c>
      <c r="B8">
        <v>10.5</v>
      </c>
      <c r="C8">
        <v>20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P78"/>
  <sheetViews>
    <sheetView topLeftCell="E5" zoomScale="90" zoomScaleNormal="90" workbookViewId="0">
      <selection activeCell="M20" sqref="M20"/>
    </sheetView>
  </sheetViews>
  <sheetFormatPr defaultRowHeight="14.4"/>
  <cols>
    <col min="1" max="1" width="17.109375" style="18" bestFit="1" customWidth="1"/>
    <col min="2" max="2" width="17.44140625" style="18" bestFit="1" customWidth="1"/>
    <col min="3" max="3" width="15.44140625" style="18" bestFit="1" customWidth="1"/>
    <col min="4" max="4" width="53.77734375" style="18" bestFit="1" customWidth="1"/>
    <col min="5" max="5" width="12.44140625" style="18" bestFit="1" customWidth="1"/>
    <col min="6" max="6" width="47.109375" style="18" bestFit="1" customWidth="1"/>
    <col min="7" max="7" width="4.44140625" style="18" bestFit="1" customWidth="1"/>
    <col min="8" max="8" width="8.88671875" style="18"/>
    <col min="9" max="9" width="28.109375" style="18" bestFit="1" customWidth="1"/>
    <col min="10" max="10" width="16.6640625" style="18" bestFit="1" customWidth="1"/>
    <col min="11" max="11" width="36.21875" style="18" bestFit="1" customWidth="1"/>
    <col min="12" max="12" width="10.44140625" style="18" bestFit="1" customWidth="1"/>
    <col min="13" max="13" width="20" style="18" bestFit="1" customWidth="1"/>
    <col min="14" max="14" width="10.77734375" style="18" bestFit="1" customWidth="1"/>
    <col min="15" max="15" width="15.33203125" style="18" bestFit="1" customWidth="1"/>
    <col min="16" max="16" width="16" style="18" bestFit="1" customWidth="1"/>
    <col min="17" max="16384" width="8.88671875" style="18"/>
  </cols>
  <sheetData>
    <row r="1" spans="1:15" s="21" customFormat="1">
      <c r="A1" s="22" t="s">
        <v>362</v>
      </c>
      <c r="B1" s="22" t="s">
        <v>451</v>
      </c>
      <c r="C1" s="22" t="s">
        <v>450</v>
      </c>
      <c r="D1" s="22" t="s">
        <v>420</v>
      </c>
      <c r="E1" s="22" t="s">
        <v>266</v>
      </c>
      <c r="F1" s="22" t="s">
        <v>349</v>
      </c>
      <c r="G1" s="21" t="s">
        <v>917</v>
      </c>
      <c r="I1" s="2" t="s">
        <v>450</v>
      </c>
      <c r="J1" s="2" t="s">
        <v>427</v>
      </c>
      <c r="L1" s="26" t="s">
        <v>265</v>
      </c>
      <c r="M1" s="26" t="s">
        <v>445</v>
      </c>
      <c r="O1" s="21" t="s">
        <v>482</v>
      </c>
    </row>
    <row r="2" spans="1:15">
      <c r="A2" s="20" t="s">
        <v>388</v>
      </c>
      <c r="B2" s="18" t="s">
        <v>453</v>
      </c>
      <c r="C2" s="18" t="s">
        <v>452</v>
      </c>
      <c r="D2" s="18" t="s">
        <v>425</v>
      </c>
      <c r="E2" s="24" t="s">
        <v>422</v>
      </c>
      <c r="F2" s="24" t="s">
        <v>389</v>
      </c>
      <c r="G2" s="18" t="str">
        <f>"d"&amp;C2</f>
        <v>d8</v>
      </c>
      <c r="I2" s="18">
        <v>1</v>
      </c>
      <c r="J2" s="18">
        <v>1</v>
      </c>
      <c r="L2" t="s">
        <v>247</v>
      </c>
      <c r="M2">
        <v>1</v>
      </c>
      <c r="N2"/>
      <c r="O2" s="18" t="s">
        <v>483</v>
      </c>
    </row>
    <row r="3" spans="1:15" ht="15" thickBot="1">
      <c r="A3" s="20" t="s">
        <v>390</v>
      </c>
      <c r="B3" s="18" t="s">
        <v>453</v>
      </c>
      <c r="C3" s="18" t="s">
        <v>452</v>
      </c>
      <c r="D3" s="18" t="s">
        <v>423</v>
      </c>
      <c r="E3" s="24" t="s">
        <v>422</v>
      </c>
      <c r="F3" s="24" t="s">
        <v>375</v>
      </c>
      <c r="G3" s="18" t="str">
        <f t="shared" ref="G3:G38" si="0">"d"&amp;C3</f>
        <v>d8</v>
      </c>
      <c r="I3">
        <v>4</v>
      </c>
      <c r="J3">
        <v>2.5</v>
      </c>
      <c r="L3" t="s">
        <v>248</v>
      </c>
      <c r="M3">
        <v>1</v>
      </c>
      <c r="N3"/>
    </row>
    <row r="4" spans="1:15" ht="15" thickBot="1">
      <c r="A4" s="19" t="s">
        <v>391</v>
      </c>
      <c r="B4" s="18" t="s">
        <v>453</v>
      </c>
      <c r="C4" s="18" t="s">
        <v>456</v>
      </c>
      <c r="D4" s="18" t="s">
        <v>425</v>
      </c>
      <c r="E4" s="25" t="s">
        <v>422</v>
      </c>
      <c r="F4" s="25" t="s">
        <v>392</v>
      </c>
      <c r="G4" s="18" t="str">
        <f t="shared" si="0"/>
        <v>d10</v>
      </c>
      <c r="I4">
        <v>6</v>
      </c>
      <c r="J4">
        <v>3.5</v>
      </c>
      <c r="L4" t="s">
        <v>249</v>
      </c>
      <c r="M4">
        <v>1</v>
      </c>
      <c r="N4"/>
    </row>
    <row r="5" spans="1:15" ht="15" thickBot="1">
      <c r="A5" s="19" t="s">
        <v>393</v>
      </c>
      <c r="B5" s="18" t="s">
        <v>453</v>
      </c>
      <c r="C5" s="18" t="s">
        <v>457</v>
      </c>
      <c r="D5" s="18" t="s">
        <v>425</v>
      </c>
      <c r="E5" s="25" t="s">
        <v>422</v>
      </c>
      <c r="F5" s="25" t="s">
        <v>394</v>
      </c>
      <c r="G5" s="18" t="str">
        <f t="shared" si="0"/>
        <v>d12</v>
      </c>
      <c r="I5">
        <v>8</v>
      </c>
      <c r="J5">
        <v>4.5</v>
      </c>
      <c r="L5" t="s">
        <v>250</v>
      </c>
      <c r="M5">
        <v>2</v>
      </c>
      <c r="N5"/>
    </row>
    <row r="6" spans="1:15" ht="15" thickBot="1">
      <c r="A6" s="19" t="s">
        <v>395</v>
      </c>
      <c r="B6" s="18" t="s">
        <v>459</v>
      </c>
      <c r="C6" s="18" t="s">
        <v>455</v>
      </c>
      <c r="D6" s="18" t="s">
        <v>425</v>
      </c>
      <c r="E6" s="25" t="s">
        <v>422</v>
      </c>
      <c r="F6" s="25" t="s">
        <v>394</v>
      </c>
      <c r="G6" s="18" t="str">
        <f t="shared" si="0"/>
        <v>d6</v>
      </c>
      <c r="I6">
        <v>10</v>
      </c>
      <c r="J6">
        <v>5.5</v>
      </c>
      <c r="L6" t="s">
        <v>251</v>
      </c>
      <c r="M6">
        <v>3</v>
      </c>
      <c r="N6"/>
    </row>
    <row r="7" spans="1:15" ht="15" thickBot="1">
      <c r="A7" s="19" t="s">
        <v>396</v>
      </c>
      <c r="B7" s="18" t="s">
        <v>453</v>
      </c>
      <c r="C7" s="18" t="s">
        <v>456</v>
      </c>
      <c r="D7" s="18" t="s">
        <v>425</v>
      </c>
      <c r="E7" s="25" t="s">
        <v>422</v>
      </c>
      <c r="F7" s="25" t="s">
        <v>392</v>
      </c>
      <c r="G7" s="18" t="str">
        <f t="shared" si="0"/>
        <v>d10</v>
      </c>
      <c r="I7">
        <v>12</v>
      </c>
      <c r="J7">
        <v>6.5</v>
      </c>
      <c r="L7" t="s">
        <v>252</v>
      </c>
      <c r="M7">
        <v>4</v>
      </c>
      <c r="N7"/>
    </row>
    <row r="8" spans="1:15" ht="15" thickBot="1">
      <c r="A8" s="19" t="s">
        <v>397</v>
      </c>
      <c r="B8" s="18" t="s">
        <v>453</v>
      </c>
      <c r="C8" s="18" t="s">
        <v>457</v>
      </c>
      <c r="D8" s="18" t="s">
        <v>424</v>
      </c>
      <c r="E8" s="25" t="s">
        <v>422</v>
      </c>
      <c r="F8" s="25" t="s">
        <v>398</v>
      </c>
      <c r="G8" s="18" t="str">
        <f t="shared" si="0"/>
        <v>d12</v>
      </c>
      <c r="I8">
        <v>20</v>
      </c>
      <c r="J8">
        <v>10.5</v>
      </c>
    </row>
    <row r="9" spans="1:15" ht="15" thickBot="1">
      <c r="A9" s="19" t="s">
        <v>399</v>
      </c>
      <c r="B9" s="18" t="s">
        <v>453</v>
      </c>
      <c r="C9" s="18" t="s">
        <v>452</v>
      </c>
      <c r="D9" s="18" t="s">
        <v>425</v>
      </c>
      <c r="E9" s="25" t="s">
        <v>422</v>
      </c>
      <c r="F9" s="25" t="s">
        <v>389</v>
      </c>
      <c r="G9" s="18" t="str">
        <f t="shared" si="0"/>
        <v>d8</v>
      </c>
    </row>
    <row r="10" spans="1:15" ht="15" thickBot="1">
      <c r="A10" s="19" t="s">
        <v>400</v>
      </c>
      <c r="B10" s="18" t="s">
        <v>459</v>
      </c>
      <c r="C10" s="18" t="s">
        <v>455</v>
      </c>
      <c r="D10" s="18" t="s">
        <v>423</v>
      </c>
      <c r="E10" s="25" t="s">
        <v>422</v>
      </c>
      <c r="F10" s="25" t="s">
        <v>394</v>
      </c>
      <c r="G10" s="18" t="str">
        <f t="shared" si="0"/>
        <v>d6</v>
      </c>
      <c r="I10" s="23" t="s">
        <v>482</v>
      </c>
      <c r="J10" s="23" t="s">
        <v>436</v>
      </c>
      <c r="K10" s="23" t="s">
        <v>428</v>
      </c>
      <c r="L10" s="23" t="s">
        <v>429</v>
      </c>
      <c r="M10" s="23" t="s">
        <v>430</v>
      </c>
    </row>
    <row r="11" spans="1:15" ht="15" thickBot="1">
      <c r="A11" s="19" t="s">
        <v>401</v>
      </c>
      <c r="B11" s="18" t="s">
        <v>453</v>
      </c>
      <c r="C11" s="18" t="s">
        <v>452</v>
      </c>
      <c r="D11" s="18" t="s">
        <v>424</v>
      </c>
      <c r="E11" s="25" t="s">
        <v>422</v>
      </c>
      <c r="F11" s="25" t="s">
        <v>375</v>
      </c>
      <c r="G11" s="18" t="str">
        <f t="shared" si="0"/>
        <v>d8</v>
      </c>
      <c r="I11" s="14" t="s">
        <v>426</v>
      </c>
      <c r="J11" s="31" t="str">
        <f>'Modified WS'!K34</f>
        <v>21-26</v>
      </c>
      <c r="K11" s="110" t="str">
        <f>LEFT(J11,FIND("-",J11,1)-1)</f>
        <v>21</v>
      </c>
      <c r="L11" s="110" t="str">
        <f>RIGHT(J11,FIND("-",J11,1)-1)</f>
        <v>26</v>
      </c>
      <c r="M11" s="109">
        <f>((L11-K11) / 2) + K11</f>
        <v>23.5</v>
      </c>
    </row>
    <row r="12" spans="1:15" ht="15" thickBot="1">
      <c r="A12" s="19" t="s">
        <v>402</v>
      </c>
      <c r="B12" s="18" t="s">
        <v>453</v>
      </c>
      <c r="C12" s="18" t="s">
        <v>456</v>
      </c>
      <c r="D12" s="18" t="s">
        <v>424</v>
      </c>
      <c r="E12" s="25" t="s">
        <v>422</v>
      </c>
      <c r="F12" s="25" t="s">
        <v>392</v>
      </c>
      <c r="G12" s="18" t="str">
        <f t="shared" si="0"/>
        <v>d10</v>
      </c>
      <c r="I12" s="18" t="s">
        <v>431</v>
      </c>
      <c r="J12" s="18" t="str">
        <f>'Modified WS'!J32</f>
        <v>Rapier</v>
      </c>
    </row>
    <row r="13" spans="1:15" ht="15" thickBot="1">
      <c r="A13" s="19" t="s">
        <v>403</v>
      </c>
      <c r="B13" s="18" t="s">
        <v>453</v>
      </c>
      <c r="C13" s="18" t="s">
        <v>452</v>
      </c>
      <c r="D13" s="18" t="s">
        <v>424</v>
      </c>
      <c r="E13" s="25" t="s">
        <v>422</v>
      </c>
      <c r="F13" s="25" t="s">
        <v>439</v>
      </c>
      <c r="G13" s="18" t="str">
        <f t="shared" si="0"/>
        <v>d8</v>
      </c>
      <c r="I13" s="18" t="s">
        <v>432</v>
      </c>
      <c r="J13" s="28" t="str">
        <f>VLOOKUP(J12,A:E,2,FALSE)</f>
        <v>1</v>
      </c>
    </row>
    <row r="14" spans="1:15" ht="15" thickBot="1">
      <c r="A14" s="19" t="s">
        <v>404</v>
      </c>
      <c r="B14" s="18" t="s">
        <v>453</v>
      </c>
      <c r="C14" s="18" t="s">
        <v>455</v>
      </c>
      <c r="D14" s="18" t="s">
        <v>425</v>
      </c>
      <c r="E14" s="25" t="s">
        <v>422</v>
      </c>
      <c r="F14" s="25" t="s">
        <v>440</v>
      </c>
      <c r="G14" s="18" t="str">
        <f t="shared" si="0"/>
        <v>d6</v>
      </c>
      <c r="I14" s="18" t="s">
        <v>450</v>
      </c>
      <c r="J14" s="28" t="str">
        <f>VLOOKUP(J12,A:C,3,FALSE)</f>
        <v>8</v>
      </c>
    </row>
    <row r="15" spans="1:15" ht="15" thickBot="1">
      <c r="A15" s="19" t="s">
        <v>405</v>
      </c>
      <c r="B15" s="18" t="s">
        <v>453</v>
      </c>
      <c r="C15" s="18" t="s">
        <v>455</v>
      </c>
      <c r="D15" s="18" t="s">
        <v>424</v>
      </c>
      <c r="E15" s="25" t="s">
        <v>422</v>
      </c>
      <c r="F15" s="25" t="s">
        <v>440</v>
      </c>
      <c r="G15" s="18" t="str">
        <f t="shared" si="0"/>
        <v>d6</v>
      </c>
      <c r="I15" s="18" t="s">
        <v>446</v>
      </c>
      <c r="J15" s="28">
        <f>J13*VLOOKUP('Modified WS'!C8,'Weapons and Damage'!L2:M7,2,FALSE)</f>
        <v>2</v>
      </c>
    </row>
    <row r="16" spans="1:15" ht="15" thickBot="1">
      <c r="A16" s="19" t="s">
        <v>406</v>
      </c>
      <c r="B16" s="18" t="s">
        <v>453</v>
      </c>
      <c r="C16" s="18" t="s">
        <v>455</v>
      </c>
      <c r="D16" s="18" t="s">
        <v>424</v>
      </c>
      <c r="E16" s="25" t="s">
        <v>422</v>
      </c>
      <c r="F16" s="25" t="s">
        <v>380</v>
      </c>
      <c r="G16" s="18" t="str">
        <f t="shared" si="0"/>
        <v>d6</v>
      </c>
      <c r="I16" s="18" t="s">
        <v>354</v>
      </c>
      <c r="J16" s="28">
        <f>VLOOKUP(VALUE(J14),I2:J8,2,FALSE)</f>
        <v>4.5</v>
      </c>
      <c r="K16" s="28"/>
    </row>
    <row r="17" spans="1:16" ht="15" thickBot="1">
      <c r="A17" s="19" t="s">
        <v>407</v>
      </c>
      <c r="B17" s="18" t="s">
        <v>453</v>
      </c>
      <c r="C17" s="18" t="s">
        <v>452</v>
      </c>
      <c r="D17" s="18" t="s">
        <v>424</v>
      </c>
      <c r="E17" s="25" t="s">
        <v>422</v>
      </c>
      <c r="F17" s="25" t="s">
        <v>375</v>
      </c>
      <c r="G17" s="18" t="str">
        <f t="shared" si="0"/>
        <v>d8</v>
      </c>
      <c r="I17" s="18" t="s">
        <v>460</v>
      </c>
      <c r="J17" s="28">
        <f>J16*J15*J13</f>
        <v>9</v>
      </c>
      <c r="K17" s="18" t="s">
        <v>444</v>
      </c>
    </row>
    <row r="18" spans="1:16" ht="15" thickBot="1">
      <c r="A18" s="19" t="s">
        <v>408</v>
      </c>
      <c r="B18" s="18" t="s">
        <v>453</v>
      </c>
      <c r="C18" s="18" t="s">
        <v>452</v>
      </c>
      <c r="D18" s="18" t="s">
        <v>423</v>
      </c>
      <c r="E18" s="25" t="s">
        <v>422</v>
      </c>
      <c r="F18" s="25" t="s">
        <v>389</v>
      </c>
      <c r="G18" s="18" t="str">
        <f t="shared" si="0"/>
        <v>d8</v>
      </c>
      <c r="I18" s="18" t="s">
        <v>461</v>
      </c>
      <c r="J18" s="29" t="b">
        <f>OR(ISNUMBER(SEARCH("finesse",VLOOKUP(J12,A:F,6,FALSE))),ISNUMBER(SEARCH("range",VLOOKUP(J12,A:F,6,FALSE))))</f>
        <v>1</v>
      </c>
    </row>
    <row r="19" spans="1:16" ht="15" thickBot="1">
      <c r="A19" s="19" t="s">
        <v>409</v>
      </c>
      <c r="B19" s="18" t="s">
        <v>453</v>
      </c>
      <c r="C19" s="18" t="s">
        <v>454</v>
      </c>
      <c r="D19" s="18" t="s">
        <v>425</v>
      </c>
      <c r="E19" s="25" t="s">
        <v>422</v>
      </c>
      <c r="F19" s="25" t="s">
        <v>441</v>
      </c>
      <c r="G19" s="18" t="str">
        <f t="shared" si="0"/>
        <v>d4</v>
      </c>
      <c r="I19" s="18" t="s">
        <v>462</v>
      </c>
      <c r="J19" s="29" t="b">
        <f>IF(J18,IF(LEFT(VLOOKUP(J12,A:F,6,FALSE),10)="Ammunition","TRUE"),"FALSE")</f>
        <v>0</v>
      </c>
    </row>
    <row r="20" spans="1:16" ht="15" thickBot="1">
      <c r="A20" s="19" t="s">
        <v>410</v>
      </c>
      <c r="B20" s="18" t="s">
        <v>453</v>
      </c>
      <c r="C20" s="18" t="s">
        <v>453</v>
      </c>
      <c r="D20" s="18" t="s">
        <v>424</v>
      </c>
      <c r="E20" s="25" t="s">
        <v>434</v>
      </c>
      <c r="F20" s="25" t="s">
        <v>411</v>
      </c>
      <c r="G20" s="18" t="str">
        <f t="shared" si="0"/>
        <v>d1</v>
      </c>
      <c r="I20" s="18" t="s">
        <v>433</v>
      </c>
      <c r="J20" s="28">
        <f>IF(J19="TRUE", 'Modified WS'!C12,IF('Weapons and Damage'!J18, MAX('Modified WS'!B12,'Modified WS'!C12),'Modified WS'!B12))</f>
        <v>2</v>
      </c>
    </row>
    <row r="21" spans="1:16" ht="15" thickBot="1">
      <c r="A21" s="25" t="s">
        <v>412</v>
      </c>
      <c r="B21" s="18" t="s">
        <v>453</v>
      </c>
      <c r="C21" s="18" t="s">
        <v>455</v>
      </c>
      <c r="D21" s="18" t="s">
        <v>424</v>
      </c>
      <c r="E21" s="25" t="s">
        <v>434</v>
      </c>
      <c r="F21" s="25" t="s">
        <v>413</v>
      </c>
      <c r="G21" s="18" t="str">
        <f t="shared" si="0"/>
        <v>d6</v>
      </c>
      <c r="I21" s="18" t="s">
        <v>442</v>
      </c>
      <c r="J21" s="28">
        <f>ROUNDDOWN(L11/(J17+J20),0)</f>
        <v>2</v>
      </c>
    </row>
    <row r="22" spans="1:16" ht="15" thickBot="1">
      <c r="A22" s="25" t="s">
        <v>414</v>
      </c>
      <c r="B22" s="18" t="s">
        <v>453</v>
      </c>
      <c r="C22" s="18" t="s">
        <v>456</v>
      </c>
      <c r="D22" s="18" t="s">
        <v>424</v>
      </c>
      <c r="E22" s="25" t="s">
        <v>434</v>
      </c>
      <c r="F22" s="25" t="s">
        <v>415</v>
      </c>
      <c r="G22" s="18" t="str">
        <f t="shared" si="0"/>
        <v>d10</v>
      </c>
      <c r="I22" s="18" t="s">
        <v>443</v>
      </c>
      <c r="J22" s="28">
        <f>ROUNDDOWN((J17*J21)+(J20*J21),1)</f>
        <v>22</v>
      </c>
    </row>
    <row r="23" spans="1:16" ht="15" thickBot="1">
      <c r="A23" s="19" t="s">
        <v>416</v>
      </c>
      <c r="B23" s="18" t="s">
        <v>453</v>
      </c>
      <c r="C23" s="18" t="s">
        <v>452</v>
      </c>
      <c r="D23" s="18" t="s">
        <v>424</v>
      </c>
      <c r="E23" s="25" t="s">
        <v>434</v>
      </c>
      <c r="F23" s="25" t="s">
        <v>417</v>
      </c>
      <c r="G23" s="18" t="str">
        <f t="shared" si="0"/>
        <v>d8</v>
      </c>
    </row>
    <row r="24" spans="1:16" ht="15" thickBot="1">
      <c r="A24" s="19" t="s">
        <v>418</v>
      </c>
      <c r="B24" s="18" t="s">
        <v>458</v>
      </c>
      <c r="C24" s="18" t="s">
        <v>458</v>
      </c>
      <c r="D24" s="18">
        <v>0</v>
      </c>
      <c r="E24" s="25" t="s">
        <v>434</v>
      </c>
      <c r="F24" s="25" t="s">
        <v>419</v>
      </c>
      <c r="G24" s="18" t="str">
        <f t="shared" si="0"/>
        <v>d0</v>
      </c>
      <c r="I24" s="2" t="s">
        <v>447</v>
      </c>
      <c r="J24" s="2" t="s">
        <v>448</v>
      </c>
      <c r="K24" s="2" t="s">
        <v>362</v>
      </c>
      <c r="L24" s="2" t="s">
        <v>449</v>
      </c>
      <c r="M24" s="2" t="s">
        <v>363</v>
      </c>
      <c r="N24" s="2" t="s">
        <v>266</v>
      </c>
      <c r="O24" s="23" t="s">
        <v>468</v>
      </c>
      <c r="P24" s="2" t="s">
        <v>463</v>
      </c>
    </row>
    <row r="25" spans="1:16" ht="15" thickBot="1">
      <c r="A25" s="19" t="s">
        <v>364</v>
      </c>
      <c r="B25" s="18" t="s">
        <v>453</v>
      </c>
      <c r="C25" s="18" t="s">
        <v>454</v>
      </c>
      <c r="D25" s="18" t="s">
        <v>423</v>
      </c>
      <c r="E25" s="25" t="s">
        <v>421</v>
      </c>
      <c r="F25" s="19" t="s">
        <v>365</v>
      </c>
      <c r="G25" s="18" t="str">
        <f t="shared" si="0"/>
        <v>d4</v>
      </c>
      <c r="I25" s="31" t="str">
        <f>IF('Weapons and Damage'!J21&gt;1, "Multi-attack", "Single Attack")</f>
        <v>Multi-attack</v>
      </c>
      <c r="J25" s="8">
        <f>IF(ISBLANK('Modified WS'!L32),'Weapons and Damage'!J21,'Modified WS'!L32)</f>
        <v>2</v>
      </c>
      <c r="K25" t="str">
        <f>'Modified WS'!J32</f>
        <v>Rapier</v>
      </c>
      <c r="L25" t="str">
        <f>"+"&amp;'Modified WS'!J39+'Weapons and Damage'!J20</f>
        <v>+6</v>
      </c>
      <c r="M25" t="str">
        <f>"("&amp;'Weapons and Damage'!J15&amp;"d"&amp;'Weapons and Damage'!J14&amp;" + "&amp;'Weapons and Damage'!J20&amp;")"</f>
        <v>(2d8 + 2)</v>
      </c>
      <c r="N25" t="str">
        <f>VLOOKUP(K25,'Weapons and Damage'!A:D,4,FALSE)</f>
        <v>piercing</v>
      </c>
      <c r="O25" s="18">
        <f>ROUNDUP(J17+J20,0)</f>
        <v>11</v>
      </c>
      <c r="P25">
        <f>ROUND(('Weapons and Damage'!J17+'Weapons and Damage'!J20)*J25,0)</f>
        <v>22</v>
      </c>
    </row>
    <row r="26" spans="1:16" ht="15" thickBot="1">
      <c r="A26" s="19" t="s">
        <v>366</v>
      </c>
      <c r="B26" s="18" t="s">
        <v>453</v>
      </c>
      <c r="C26" s="18" t="s">
        <v>454</v>
      </c>
      <c r="D26" s="18" t="s">
        <v>424</v>
      </c>
      <c r="E26" s="25" t="s">
        <v>421</v>
      </c>
      <c r="F26" s="25" t="s">
        <v>437</v>
      </c>
      <c r="G26" s="18" t="str">
        <f t="shared" si="0"/>
        <v>d4</v>
      </c>
    </row>
    <row r="27" spans="1:16" ht="15" thickBot="1">
      <c r="A27" s="19" t="s">
        <v>367</v>
      </c>
      <c r="B27" s="18" t="s">
        <v>453</v>
      </c>
      <c r="C27" s="18" t="s">
        <v>452</v>
      </c>
      <c r="D27" s="18" t="s">
        <v>423</v>
      </c>
      <c r="E27" s="25" t="s">
        <v>421</v>
      </c>
      <c r="F27" s="25" t="s">
        <v>368</v>
      </c>
      <c r="G27" s="18" t="str">
        <f t="shared" si="0"/>
        <v>d8</v>
      </c>
    </row>
    <row r="28" spans="1:16" ht="15" thickBot="1">
      <c r="A28" s="19" t="s">
        <v>369</v>
      </c>
      <c r="B28" s="18" t="s">
        <v>453</v>
      </c>
      <c r="C28" s="18" t="s">
        <v>455</v>
      </c>
      <c r="D28" s="18" t="s">
        <v>425</v>
      </c>
      <c r="E28" s="25" t="s">
        <v>421</v>
      </c>
      <c r="F28" s="19" t="s">
        <v>370</v>
      </c>
      <c r="G28" s="18" t="str">
        <f t="shared" si="0"/>
        <v>d6</v>
      </c>
    </row>
    <row r="29" spans="1:16" ht="15" thickBot="1">
      <c r="A29" s="19" t="s">
        <v>371</v>
      </c>
      <c r="B29" s="18" t="s">
        <v>453</v>
      </c>
      <c r="C29" s="18" t="s">
        <v>455</v>
      </c>
      <c r="D29" s="18" t="s">
        <v>424</v>
      </c>
      <c r="E29" s="25" t="s">
        <v>421</v>
      </c>
      <c r="F29" s="25" t="s">
        <v>372</v>
      </c>
      <c r="G29" s="18" t="str">
        <f t="shared" si="0"/>
        <v>d6</v>
      </c>
    </row>
    <row r="30" spans="1:16" ht="15" thickBot="1">
      <c r="A30" s="19" t="s">
        <v>373</v>
      </c>
      <c r="B30" s="18" t="s">
        <v>453</v>
      </c>
      <c r="C30" s="18" t="s">
        <v>454</v>
      </c>
      <c r="D30" s="18" t="s">
        <v>423</v>
      </c>
      <c r="E30" s="25" t="s">
        <v>421</v>
      </c>
      <c r="F30" s="19" t="s">
        <v>370</v>
      </c>
      <c r="G30" s="18" t="str">
        <f t="shared" si="0"/>
        <v>d4</v>
      </c>
    </row>
    <row r="31" spans="1:16" ht="15" thickBot="1">
      <c r="A31" s="19" t="s">
        <v>374</v>
      </c>
      <c r="B31" s="18" t="s">
        <v>453</v>
      </c>
      <c r="C31" s="18" t="s">
        <v>455</v>
      </c>
      <c r="D31" s="18" t="s">
        <v>423</v>
      </c>
      <c r="E31" s="25" t="s">
        <v>421</v>
      </c>
      <c r="F31" s="25" t="s">
        <v>375</v>
      </c>
      <c r="G31" s="18" t="str">
        <f t="shared" si="0"/>
        <v>d6</v>
      </c>
    </row>
    <row r="32" spans="1:16" ht="15" thickBot="1">
      <c r="A32" s="19" t="s">
        <v>376</v>
      </c>
      <c r="B32" s="18" t="s">
        <v>453</v>
      </c>
      <c r="C32" s="18" t="s">
        <v>455</v>
      </c>
      <c r="D32" s="18" t="s">
        <v>423</v>
      </c>
      <c r="E32" s="25" t="s">
        <v>421</v>
      </c>
      <c r="F32" s="25" t="s">
        <v>377</v>
      </c>
      <c r="G32" s="18" t="str">
        <f t="shared" si="0"/>
        <v>d6</v>
      </c>
    </row>
    <row r="33" spans="1:7" ht="15" thickBot="1">
      <c r="A33" s="19" t="s">
        <v>378</v>
      </c>
      <c r="B33" s="18" t="s">
        <v>453</v>
      </c>
      <c r="C33" s="18" t="s">
        <v>454</v>
      </c>
      <c r="D33" s="18" t="s">
        <v>425</v>
      </c>
      <c r="E33" s="25" t="s">
        <v>421</v>
      </c>
      <c r="F33" s="19" t="s">
        <v>365</v>
      </c>
      <c r="G33" s="18" t="str">
        <f t="shared" si="0"/>
        <v>d4</v>
      </c>
    </row>
    <row r="34" spans="1:7" ht="15" thickBot="1">
      <c r="A34" s="19" t="s">
        <v>379</v>
      </c>
      <c r="B34" s="18" t="s">
        <v>453</v>
      </c>
      <c r="C34" s="18" t="s">
        <v>455</v>
      </c>
      <c r="D34" s="18" t="s">
        <v>424</v>
      </c>
      <c r="E34" s="25" t="s">
        <v>421</v>
      </c>
      <c r="F34" s="25" t="s">
        <v>380</v>
      </c>
      <c r="G34" s="18" t="str">
        <f t="shared" si="0"/>
        <v>d6</v>
      </c>
    </row>
    <row r="35" spans="1:7" ht="15" thickBot="1">
      <c r="A35" s="25" t="s">
        <v>381</v>
      </c>
      <c r="B35" s="18" t="s">
        <v>453</v>
      </c>
      <c r="C35" s="18" t="s">
        <v>452</v>
      </c>
      <c r="D35" s="18" t="s">
        <v>424</v>
      </c>
      <c r="E35" s="25" t="s">
        <v>435</v>
      </c>
      <c r="F35" s="25" t="s">
        <v>382</v>
      </c>
      <c r="G35" s="18" t="str">
        <f t="shared" si="0"/>
        <v>d8</v>
      </c>
    </row>
    <row r="36" spans="1:7" ht="15" thickBot="1">
      <c r="A36" s="19" t="s">
        <v>383</v>
      </c>
      <c r="B36" s="18" t="s">
        <v>453</v>
      </c>
      <c r="C36" s="18" t="s">
        <v>454</v>
      </c>
      <c r="D36" s="18" t="s">
        <v>424</v>
      </c>
      <c r="E36" s="25" t="s">
        <v>435</v>
      </c>
      <c r="F36" s="25" t="s">
        <v>438</v>
      </c>
      <c r="G36" s="18" t="str">
        <f t="shared" si="0"/>
        <v>d4</v>
      </c>
    </row>
    <row r="37" spans="1:7" ht="15" thickBot="1">
      <c r="A37" s="19" t="s">
        <v>384</v>
      </c>
      <c r="B37" s="18" t="s">
        <v>453</v>
      </c>
      <c r="C37" s="18" t="s">
        <v>455</v>
      </c>
      <c r="D37" s="18" t="s">
        <v>424</v>
      </c>
      <c r="E37" s="25" t="s">
        <v>435</v>
      </c>
      <c r="F37" s="25" t="s">
        <v>385</v>
      </c>
      <c r="G37" s="18" t="str">
        <f t="shared" si="0"/>
        <v>d6</v>
      </c>
    </row>
    <row r="38" spans="1:7">
      <c r="A38" s="19" t="s">
        <v>386</v>
      </c>
      <c r="B38" s="18" t="s">
        <v>453</v>
      </c>
      <c r="C38" s="18" t="s">
        <v>454</v>
      </c>
      <c r="D38" s="18" t="s">
        <v>423</v>
      </c>
      <c r="E38" s="25" t="s">
        <v>435</v>
      </c>
      <c r="F38" s="25" t="s">
        <v>387</v>
      </c>
      <c r="G38" s="18" t="str">
        <f t="shared" si="0"/>
        <v>d4</v>
      </c>
    </row>
    <row r="39" spans="1:7">
      <c r="A39" s="20"/>
      <c r="E39" s="24"/>
      <c r="F39" s="24"/>
    </row>
    <row r="41" spans="1:7">
      <c r="A41" s="22" t="s">
        <v>987</v>
      </c>
      <c r="B41" s="22" t="s">
        <v>988</v>
      </c>
      <c r="C41" s="22" t="s">
        <v>989</v>
      </c>
      <c r="D41" s="22" t="s">
        <v>990</v>
      </c>
      <c r="E41" s="26" t="s">
        <v>917</v>
      </c>
      <c r="F41" s="20" t="str">
        <f>_xlfn.CONCAT(A41:E41)</f>
        <v>Weapon,Damage Type,Type,Traits,Die</v>
      </c>
      <c r="G41" s="21"/>
    </row>
    <row r="42" spans="1:7">
      <c r="A42" s="20" t="s">
        <v>918</v>
      </c>
      <c r="B42" s="20" t="s">
        <v>919</v>
      </c>
      <c r="C42" s="20" t="s">
        <v>920</v>
      </c>
      <c r="D42" s="20" t="s">
        <v>921</v>
      </c>
      <c r="E42" s="20" t="str">
        <f>"'"&amp;G2&amp;"'"</f>
        <v>'d8'</v>
      </c>
      <c r="F42" s="20" t="str">
        <f>"("&amp;_xlfn.CONCAT(A42:E42)&amp;"),"</f>
        <v>('Battleaxe','slashing','Martial Melee','Versatile (1d10)','d8'),</v>
      </c>
      <c r="G42" s="20"/>
    </row>
    <row r="43" spans="1:7">
      <c r="A43" s="20" t="s">
        <v>922</v>
      </c>
      <c r="B43" s="20" t="s">
        <v>923</v>
      </c>
      <c r="C43" s="20" t="s">
        <v>920</v>
      </c>
      <c r="D43" s="20" t="s">
        <v>986</v>
      </c>
      <c r="E43" s="20" t="str">
        <f t="shared" ref="E43:E78" si="1">"'"&amp;G3&amp;"'"</f>
        <v>'d8'</v>
      </c>
      <c r="F43" s="20" t="str">
        <f t="shared" ref="F43:F78" si="2">"("&amp;_xlfn.CONCAT(A43:E43)&amp;"),"</f>
        <v>('Flail','bludgeoning','Martial Melee',null,'d8'),</v>
      </c>
      <c r="G43" s="20"/>
    </row>
    <row r="44" spans="1:7">
      <c r="A44" s="20" t="s">
        <v>924</v>
      </c>
      <c r="B44" s="20" t="s">
        <v>919</v>
      </c>
      <c r="C44" s="20" t="s">
        <v>920</v>
      </c>
      <c r="D44" s="20" t="s">
        <v>925</v>
      </c>
      <c r="E44" s="20" t="str">
        <f t="shared" si="1"/>
        <v>'d10'</v>
      </c>
      <c r="F44" s="20" t="str">
        <f t="shared" si="2"/>
        <v>('Glaive','slashing','Martial Melee','Heavy, reach, two-handed','d10'),</v>
      </c>
      <c r="G44" s="20"/>
    </row>
    <row r="45" spans="1:7">
      <c r="A45" s="20" t="s">
        <v>926</v>
      </c>
      <c r="B45" s="20" t="s">
        <v>919</v>
      </c>
      <c r="C45" s="20" t="s">
        <v>920</v>
      </c>
      <c r="D45" s="20" t="s">
        <v>927</v>
      </c>
      <c r="E45" s="20" t="str">
        <f t="shared" si="1"/>
        <v>'d12'</v>
      </c>
      <c r="F45" s="20" t="str">
        <f t="shared" si="2"/>
        <v>('Greataxe','slashing','Martial Melee','Heavy, two-handed','d12'),</v>
      </c>
      <c r="G45" s="20"/>
    </row>
    <row r="46" spans="1:7">
      <c r="A46" s="20" t="s">
        <v>928</v>
      </c>
      <c r="B46" s="20" t="s">
        <v>919</v>
      </c>
      <c r="C46" s="20" t="s">
        <v>920</v>
      </c>
      <c r="D46" s="20" t="s">
        <v>927</v>
      </c>
      <c r="E46" s="20" t="str">
        <f t="shared" si="1"/>
        <v>'d6'</v>
      </c>
      <c r="F46" s="20" t="str">
        <f t="shared" si="2"/>
        <v>('Greatsword','slashing','Martial Melee','Heavy, two-handed','d6'),</v>
      </c>
      <c r="G46" s="20"/>
    </row>
    <row r="47" spans="1:7">
      <c r="A47" s="20" t="s">
        <v>929</v>
      </c>
      <c r="B47" s="20" t="s">
        <v>919</v>
      </c>
      <c r="C47" s="20" t="s">
        <v>920</v>
      </c>
      <c r="D47" s="20" t="s">
        <v>925</v>
      </c>
      <c r="E47" s="20" t="str">
        <f t="shared" si="1"/>
        <v>'d10'</v>
      </c>
      <c r="F47" s="20" t="str">
        <f t="shared" si="2"/>
        <v>('Halberd','slashing','Martial Melee','Heavy, reach, two-handed','d10'),</v>
      </c>
      <c r="G47" s="20"/>
    </row>
    <row r="48" spans="1:7">
      <c r="A48" s="20" t="s">
        <v>930</v>
      </c>
      <c r="B48" s="20" t="s">
        <v>931</v>
      </c>
      <c r="C48" s="20" t="s">
        <v>920</v>
      </c>
      <c r="D48" s="20" t="s">
        <v>932</v>
      </c>
      <c r="E48" s="20" t="str">
        <f t="shared" si="1"/>
        <v>'d12'</v>
      </c>
      <c r="F48" s="20" t="str">
        <f t="shared" si="2"/>
        <v>('Lance','piercing','Martial Melee','Reach, special','d12'),</v>
      </c>
      <c r="G48" s="20"/>
    </row>
    <row r="49" spans="1:7">
      <c r="A49" s="20" t="s">
        <v>933</v>
      </c>
      <c r="B49" s="20" t="s">
        <v>919</v>
      </c>
      <c r="C49" s="20" t="s">
        <v>920</v>
      </c>
      <c r="D49" s="20" t="s">
        <v>921</v>
      </c>
      <c r="E49" s="20" t="str">
        <f t="shared" si="1"/>
        <v>'d8'</v>
      </c>
      <c r="F49" s="20" t="str">
        <f t="shared" si="2"/>
        <v>('Longsword','slashing','Martial Melee','Versatile (1d10)','d8'),</v>
      </c>
      <c r="G49" s="20"/>
    </row>
    <row r="50" spans="1:7">
      <c r="A50" s="20" t="s">
        <v>934</v>
      </c>
      <c r="B50" s="20" t="s">
        <v>923</v>
      </c>
      <c r="C50" s="20" t="s">
        <v>920</v>
      </c>
      <c r="D50" s="20" t="s">
        <v>927</v>
      </c>
      <c r="E50" s="20" t="str">
        <f t="shared" si="1"/>
        <v>'d6'</v>
      </c>
      <c r="F50" s="20" t="str">
        <f t="shared" si="2"/>
        <v>('Maul','bludgeoning','Martial Melee','Heavy, two-handed','d6'),</v>
      </c>
      <c r="G50" s="20"/>
    </row>
    <row r="51" spans="1:7">
      <c r="A51" s="20" t="s">
        <v>935</v>
      </c>
      <c r="B51" s="20" t="s">
        <v>931</v>
      </c>
      <c r="C51" s="20" t="s">
        <v>920</v>
      </c>
      <c r="D51" s="20" t="s">
        <v>986</v>
      </c>
      <c r="E51" s="20" t="str">
        <f t="shared" si="1"/>
        <v>'d8'</v>
      </c>
      <c r="F51" s="20" t="str">
        <f t="shared" si="2"/>
        <v>('Morningstar','piercing','Martial Melee',null,'d8'),</v>
      </c>
      <c r="G51" s="20"/>
    </row>
    <row r="52" spans="1:7">
      <c r="A52" s="20" t="s">
        <v>936</v>
      </c>
      <c r="B52" s="20" t="s">
        <v>931</v>
      </c>
      <c r="C52" s="20" t="s">
        <v>920</v>
      </c>
      <c r="D52" s="20" t="s">
        <v>925</v>
      </c>
      <c r="E52" s="20" t="str">
        <f t="shared" si="1"/>
        <v>'d10'</v>
      </c>
      <c r="F52" s="20" t="str">
        <f t="shared" si="2"/>
        <v>('Pike','piercing','Martial Melee','Heavy, reach, two-handed','d10'),</v>
      </c>
      <c r="G52" s="20"/>
    </row>
    <row r="53" spans="1:7">
      <c r="A53" s="20" t="s">
        <v>937</v>
      </c>
      <c r="B53" s="20" t="s">
        <v>931</v>
      </c>
      <c r="C53" s="20" t="s">
        <v>920</v>
      </c>
      <c r="D53" s="20" t="s">
        <v>938</v>
      </c>
      <c r="E53" s="20" t="str">
        <f t="shared" si="1"/>
        <v>'d8'</v>
      </c>
      <c r="F53" s="20" t="str">
        <f t="shared" si="2"/>
        <v>('Rapier','piercing','Martial Melee','finesse','d8'),</v>
      </c>
      <c r="G53" s="20"/>
    </row>
    <row r="54" spans="1:7">
      <c r="A54" s="20" t="s">
        <v>939</v>
      </c>
      <c r="B54" s="20" t="s">
        <v>919</v>
      </c>
      <c r="C54" s="20" t="s">
        <v>920</v>
      </c>
      <c r="D54" s="20" t="s">
        <v>940</v>
      </c>
      <c r="E54" s="20" t="str">
        <f t="shared" si="1"/>
        <v>'d6'</v>
      </c>
      <c r="F54" s="20" t="str">
        <f t="shared" si="2"/>
        <v>('Scimitar','slashing','Martial Melee','finesse, light','d6'),</v>
      </c>
      <c r="G54" s="20"/>
    </row>
    <row r="55" spans="1:7">
      <c r="A55" s="20" t="s">
        <v>941</v>
      </c>
      <c r="B55" s="20" t="s">
        <v>931</v>
      </c>
      <c r="C55" s="20" t="s">
        <v>920</v>
      </c>
      <c r="D55" s="20" t="s">
        <v>940</v>
      </c>
      <c r="E55" s="20" t="str">
        <f t="shared" si="1"/>
        <v>'d6'</v>
      </c>
      <c r="F55" s="20" t="str">
        <f t="shared" si="2"/>
        <v>('Shortsword','piercing','Martial Melee','finesse, light','d6'),</v>
      </c>
      <c r="G55" s="20"/>
    </row>
    <row r="56" spans="1:7">
      <c r="A56" s="20" t="s">
        <v>942</v>
      </c>
      <c r="B56" s="20" t="s">
        <v>931</v>
      </c>
      <c r="C56" s="20" t="s">
        <v>920</v>
      </c>
      <c r="D56" s="20" t="s">
        <v>943</v>
      </c>
      <c r="E56" s="20" t="str">
        <f t="shared" si="1"/>
        <v>'d6'</v>
      </c>
      <c r="F56" s="20" t="str">
        <f t="shared" si="2"/>
        <v>('Trident','piercing','Martial Melee','Thrown (range 20/60), versatile (1d8)','d6'),</v>
      </c>
      <c r="G56" s="20"/>
    </row>
    <row r="57" spans="1:7">
      <c r="A57" s="20" t="s">
        <v>944</v>
      </c>
      <c r="B57" s="20" t="s">
        <v>931</v>
      </c>
      <c r="C57" s="20" t="s">
        <v>920</v>
      </c>
      <c r="D57" s="20" t="s">
        <v>986</v>
      </c>
      <c r="E57" s="20" t="str">
        <f t="shared" si="1"/>
        <v>'d8'</v>
      </c>
      <c r="F57" s="20" t="str">
        <f t="shared" si="2"/>
        <v>('War Pick','piercing','Martial Melee',null,'d8'),</v>
      </c>
      <c r="G57" s="20"/>
    </row>
    <row r="58" spans="1:7">
      <c r="A58" s="20" t="s">
        <v>945</v>
      </c>
      <c r="B58" s="20" t="s">
        <v>923</v>
      </c>
      <c r="C58" s="20" t="s">
        <v>920</v>
      </c>
      <c r="D58" s="20" t="s">
        <v>921</v>
      </c>
      <c r="E58" s="20" t="str">
        <f t="shared" si="1"/>
        <v>'d8'</v>
      </c>
      <c r="F58" s="20" t="str">
        <f t="shared" si="2"/>
        <v>('Warhammer','bludgeoning','Martial Melee','Versatile (1d10)','d8'),</v>
      </c>
      <c r="G58" s="20"/>
    </row>
    <row r="59" spans="1:7">
      <c r="A59" s="20" t="s">
        <v>946</v>
      </c>
      <c r="B59" s="20" t="s">
        <v>919</v>
      </c>
      <c r="C59" s="20" t="s">
        <v>920</v>
      </c>
      <c r="D59" s="20" t="s">
        <v>947</v>
      </c>
      <c r="E59" s="20" t="str">
        <f t="shared" si="1"/>
        <v>'d4'</v>
      </c>
      <c r="F59" s="20" t="str">
        <f t="shared" si="2"/>
        <v>('Whip','slashing','Martial Melee','finesse, reach','d4'),</v>
      </c>
      <c r="G59" s="20"/>
    </row>
    <row r="60" spans="1:7">
      <c r="A60" s="20" t="s">
        <v>948</v>
      </c>
      <c r="B60" s="20" t="s">
        <v>931</v>
      </c>
      <c r="C60" s="20" t="s">
        <v>949</v>
      </c>
      <c r="D60" s="20" t="s">
        <v>950</v>
      </c>
      <c r="E60" s="20" t="str">
        <f t="shared" si="1"/>
        <v>'d1'</v>
      </c>
      <c r="F60" s="20" t="str">
        <f t="shared" si="2"/>
        <v>('Blowgun','piercing','Martial ranged','Ammunition (range 25/100), loading','d1'),</v>
      </c>
      <c r="G60" s="20"/>
    </row>
    <row r="61" spans="1:7">
      <c r="A61" s="20" t="s">
        <v>951</v>
      </c>
      <c r="B61" s="20" t="s">
        <v>931</v>
      </c>
      <c r="C61" s="20" t="s">
        <v>949</v>
      </c>
      <c r="D61" s="20" t="s">
        <v>952</v>
      </c>
      <c r="E61" s="20" t="str">
        <f t="shared" si="1"/>
        <v>'d6'</v>
      </c>
      <c r="F61" s="20" t="str">
        <f t="shared" si="2"/>
        <v>('Crossbow, hand','piercing','Martial ranged','Ammunition (range 30/120), light, loading','d6'),</v>
      </c>
      <c r="G61" s="20"/>
    </row>
    <row r="62" spans="1:7">
      <c r="A62" s="20" t="s">
        <v>953</v>
      </c>
      <c r="B62" s="20" t="s">
        <v>931</v>
      </c>
      <c r="C62" s="20" t="s">
        <v>949</v>
      </c>
      <c r="D62" s="20" t="s">
        <v>954</v>
      </c>
      <c r="E62" s="20" t="str">
        <f t="shared" si="1"/>
        <v>'d10'</v>
      </c>
      <c r="F62" s="20" t="str">
        <f t="shared" si="2"/>
        <v>('Crossbow, heavy','piercing','Martial ranged','Ammunition (range 100/400), heavy, loading, two-handed','d10'),</v>
      </c>
      <c r="G62" s="20"/>
    </row>
    <row r="63" spans="1:7">
      <c r="A63" s="20" t="s">
        <v>955</v>
      </c>
      <c r="B63" s="20" t="s">
        <v>931</v>
      </c>
      <c r="C63" s="20" t="s">
        <v>949</v>
      </c>
      <c r="D63" s="20" t="s">
        <v>956</v>
      </c>
      <c r="E63" s="20" t="str">
        <f t="shared" si="1"/>
        <v>'d8'</v>
      </c>
      <c r="F63" s="20" t="str">
        <f t="shared" si="2"/>
        <v>('Longbow','piercing','Martial ranged','Ammunition (range 150/600), heavy, two-handed','d8'),</v>
      </c>
      <c r="G63" s="20"/>
    </row>
    <row r="64" spans="1:7">
      <c r="A64" s="20" t="s">
        <v>957</v>
      </c>
      <c r="B64" s="20" t="s">
        <v>958</v>
      </c>
      <c r="C64" s="20" t="s">
        <v>949</v>
      </c>
      <c r="D64" s="20" t="s">
        <v>959</v>
      </c>
      <c r="E64" s="20" t="str">
        <f t="shared" si="1"/>
        <v>'d0'</v>
      </c>
      <c r="F64" s="20" t="str">
        <f t="shared" si="2"/>
        <v>('Net','0','Martial ranged','Special, thrown (range 5/15)','d0'),</v>
      </c>
      <c r="G64" s="20"/>
    </row>
    <row r="65" spans="1:7">
      <c r="A65" s="20" t="s">
        <v>960</v>
      </c>
      <c r="B65" s="20" t="s">
        <v>923</v>
      </c>
      <c r="C65" s="20" t="s">
        <v>961</v>
      </c>
      <c r="D65" s="20" t="s">
        <v>962</v>
      </c>
      <c r="E65" s="20" t="str">
        <f t="shared" si="1"/>
        <v>'d4'</v>
      </c>
      <c r="F65" s="20" t="str">
        <f t="shared" si="2"/>
        <v>('Club','bludgeoning','Simple Melee','Light','d4'),</v>
      </c>
      <c r="G65" s="20"/>
    </row>
    <row r="66" spans="1:7">
      <c r="A66" s="20" t="s">
        <v>963</v>
      </c>
      <c r="B66" s="20" t="s">
        <v>931</v>
      </c>
      <c r="C66" s="20" t="s">
        <v>961</v>
      </c>
      <c r="D66" s="20" t="s">
        <v>964</v>
      </c>
      <c r="E66" s="20" t="str">
        <f t="shared" si="1"/>
        <v>'d4'</v>
      </c>
      <c r="F66" s="20" t="str">
        <f t="shared" si="2"/>
        <v>('Dagger','piercing','Simple Melee','finesse, light, thrown (range 20/60)','d4'),</v>
      </c>
      <c r="G66" s="20"/>
    </row>
    <row r="67" spans="1:7">
      <c r="A67" s="20" t="s">
        <v>965</v>
      </c>
      <c r="B67" s="20" t="s">
        <v>923</v>
      </c>
      <c r="C67" s="20" t="s">
        <v>961</v>
      </c>
      <c r="D67" s="20" t="s">
        <v>966</v>
      </c>
      <c r="E67" s="20" t="str">
        <f t="shared" si="1"/>
        <v>'d8'</v>
      </c>
      <c r="F67" s="20" t="str">
        <f t="shared" si="2"/>
        <v>('Greatclub','bludgeoning','Simple Melee','Two-handed','d8'),</v>
      </c>
      <c r="G67" s="20"/>
    </row>
    <row r="68" spans="1:7">
      <c r="A68" s="20" t="s">
        <v>967</v>
      </c>
      <c r="B68" s="20" t="s">
        <v>919</v>
      </c>
      <c r="C68" s="20" t="s">
        <v>961</v>
      </c>
      <c r="D68" s="20" t="s">
        <v>968</v>
      </c>
      <c r="E68" s="20" t="str">
        <f t="shared" si="1"/>
        <v>'d6'</v>
      </c>
      <c r="F68" s="20" t="str">
        <f t="shared" si="2"/>
        <v>('Handaxe','slashing','Simple Melee','Light, thrown (range 20/60)','d6'),</v>
      </c>
      <c r="G68" s="20"/>
    </row>
    <row r="69" spans="1:7">
      <c r="A69" s="20" t="s">
        <v>969</v>
      </c>
      <c r="B69" s="20" t="s">
        <v>931</v>
      </c>
      <c r="C69" s="20" t="s">
        <v>961</v>
      </c>
      <c r="D69" s="20" t="s">
        <v>970</v>
      </c>
      <c r="E69" s="20" t="str">
        <f t="shared" si="1"/>
        <v>'d6'</v>
      </c>
      <c r="F69" s="20" t="str">
        <f t="shared" si="2"/>
        <v>('Javelin','piercing','Simple Melee','Thrown (range 30/120)','d6'),</v>
      </c>
      <c r="G69" s="20"/>
    </row>
    <row r="70" spans="1:7">
      <c r="A70" s="20" t="s">
        <v>971</v>
      </c>
      <c r="B70" s="20" t="s">
        <v>923</v>
      </c>
      <c r="C70" s="20" t="s">
        <v>961</v>
      </c>
      <c r="D70" s="20" t="s">
        <v>968</v>
      </c>
      <c r="E70" s="20" t="str">
        <f t="shared" si="1"/>
        <v>'d4'</v>
      </c>
      <c r="F70" s="20" t="str">
        <f t="shared" si="2"/>
        <v>('Light Hammer','bludgeoning','Simple Melee','Light, thrown (range 20/60)','d4'),</v>
      </c>
      <c r="G70" s="20"/>
    </row>
    <row r="71" spans="1:7">
      <c r="A71" s="20" t="s">
        <v>972</v>
      </c>
      <c r="B71" s="20" t="s">
        <v>923</v>
      </c>
      <c r="C71" s="20" t="s">
        <v>961</v>
      </c>
      <c r="D71" s="20" t="s">
        <v>986</v>
      </c>
      <c r="E71" s="20" t="str">
        <f t="shared" si="1"/>
        <v>'d6'</v>
      </c>
      <c r="F71" s="20" t="str">
        <f t="shared" si="2"/>
        <v>('Mace','bludgeoning','Simple Melee',null,'d6'),</v>
      </c>
      <c r="G71" s="20"/>
    </row>
    <row r="72" spans="1:7">
      <c r="A72" s="20" t="s">
        <v>973</v>
      </c>
      <c r="B72" s="20" t="s">
        <v>923</v>
      </c>
      <c r="C72" s="20" t="s">
        <v>961</v>
      </c>
      <c r="D72" s="20" t="s">
        <v>974</v>
      </c>
      <c r="E72" s="20" t="str">
        <f t="shared" si="1"/>
        <v>'d6'</v>
      </c>
      <c r="F72" s="20" t="str">
        <f t="shared" si="2"/>
        <v>('Quarterstaff','bludgeoning','Simple Melee','Versatile (1d8)','d6'),</v>
      </c>
      <c r="G72" s="20"/>
    </row>
    <row r="73" spans="1:7">
      <c r="A73" s="20" t="s">
        <v>975</v>
      </c>
      <c r="B73" s="20" t="s">
        <v>919</v>
      </c>
      <c r="C73" s="20" t="s">
        <v>961</v>
      </c>
      <c r="D73" s="20" t="s">
        <v>962</v>
      </c>
      <c r="E73" s="20" t="str">
        <f t="shared" si="1"/>
        <v>'d4'</v>
      </c>
      <c r="F73" s="20" t="str">
        <f t="shared" si="2"/>
        <v>('Sickle','slashing','Simple Melee','Light','d4'),</v>
      </c>
      <c r="G73" s="20"/>
    </row>
    <row r="74" spans="1:7">
      <c r="A74" s="20" t="s">
        <v>976</v>
      </c>
      <c r="B74" s="20" t="s">
        <v>931</v>
      </c>
      <c r="C74" s="20" t="s">
        <v>961</v>
      </c>
      <c r="D74" s="20" t="s">
        <v>943</v>
      </c>
      <c r="E74" s="20" t="str">
        <f t="shared" si="1"/>
        <v>'d6'</v>
      </c>
      <c r="F74" s="20" t="str">
        <f t="shared" si="2"/>
        <v>('Spear','piercing','Simple Melee','Thrown (range 20/60), versatile (1d8)','d6'),</v>
      </c>
      <c r="G74" s="20"/>
    </row>
    <row r="75" spans="1:7">
      <c r="A75" s="20" t="s">
        <v>977</v>
      </c>
      <c r="B75" s="20" t="s">
        <v>931</v>
      </c>
      <c r="C75" s="20" t="s">
        <v>978</v>
      </c>
      <c r="D75" s="20" t="s">
        <v>979</v>
      </c>
      <c r="E75" s="20" t="str">
        <f t="shared" si="1"/>
        <v>'d8'</v>
      </c>
      <c r="F75" s="20" t="str">
        <f t="shared" si="2"/>
        <v>('Crossbow, light','piercing','Simple ranged','Ammunition (range 80/320), loading, two-handed','d8'),</v>
      </c>
      <c r="G75" s="20"/>
    </row>
    <row r="76" spans="1:7">
      <c r="A76" s="20" t="s">
        <v>980</v>
      </c>
      <c r="B76" s="20" t="s">
        <v>931</v>
      </c>
      <c r="C76" s="20" t="s">
        <v>978</v>
      </c>
      <c r="D76" s="20" t="s">
        <v>981</v>
      </c>
      <c r="E76" s="20" t="str">
        <f t="shared" si="1"/>
        <v>'d4'</v>
      </c>
      <c r="F76" s="20" t="str">
        <f t="shared" si="2"/>
        <v>('Dart','piercing','Simple ranged','finesse, thrown (range 20/60)','d4'),</v>
      </c>
      <c r="G76" s="20"/>
    </row>
    <row r="77" spans="1:7">
      <c r="A77" s="20" t="s">
        <v>982</v>
      </c>
      <c r="B77" s="20" t="s">
        <v>931</v>
      </c>
      <c r="C77" s="20" t="s">
        <v>978</v>
      </c>
      <c r="D77" s="20" t="s">
        <v>983</v>
      </c>
      <c r="E77" s="20" t="str">
        <f t="shared" si="1"/>
        <v>'d6'</v>
      </c>
      <c r="F77" s="20" t="str">
        <f t="shared" si="2"/>
        <v>('Shortbow','piercing','Simple ranged','Ammunition (range 80/320), two-handed','d6'),</v>
      </c>
      <c r="G77" s="20"/>
    </row>
    <row r="78" spans="1:7">
      <c r="A78" s="20" t="s">
        <v>984</v>
      </c>
      <c r="B78" s="20" t="s">
        <v>923</v>
      </c>
      <c r="C78" s="20" t="s">
        <v>978</v>
      </c>
      <c r="D78" s="20" t="s">
        <v>985</v>
      </c>
      <c r="E78" s="20" t="str">
        <f t="shared" si="1"/>
        <v>'d4'</v>
      </c>
      <c r="F78" s="20" t="str">
        <f t="shared" si="2"/>
        <v>('Sling','bludgeoning','Simple ranged','Ammunition (range 30/120)','d4'),</v>
      </c>
      <c r="G78" s="20"/>
    </row>
  </sheetData>
  <autoFilter ref="A1:F39" xr:uid="{00000000-0009-0000-0000-00000A000000}">
    <sortState ref="A2:F39">
      <sortCondition ref="E1:E39"/>
    </sortState>
  </autoFilter>
  <hyperlinks>
    <hyperlink ref="A1" r:id="rId1" location="h-Melee%20Weapons" display="https://roll20.net/compendium/dnd5e/Melee Weapons - h-Melee%20Weapons" xr:uid="{00000000-0004-0000-0A00-000000000000}"/>
    <hyperlink ref="A25" r:id="rId2" location="h-Battleaxe" display="https://roll20.net/compendium/dnd5e/Battleaxe - h-Battleaxe" xr:uid="{00000000-0004-0000-0A00-000001000000}"/>
    <hyperlink ref="A41" r:id="rId3" location="h-Melee%20Weapons" display="https://roll20.net/compendium/dnd5e/Melee Weapons - h-Melee%20Weapons" xr:uid="{8CF069D3-9AB3-47FE-B433-D39E0F3CA1D3}"/>
  </hyperlinks>
  <pageMargins left="0.7" right="0.7" top="0.75" bottom="0.75" header="0.3" footer="0.3"/>
  <pageSetup orientation="portrait" horizontalDpi="360" verticalDpi="360"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31"/>
  <sheetViews>
    <sheetView workbookViewId="0">
      <selection activeCell="B12" sqref="B12"/>
    </sheetView>
  </sheetViews>
  <sheetFormatPr defaultRowHeight="14.4"/>
  <cols>
    <col min="2" max="2" width="10.21875" bestFit="1" customWidth="1"/>
  </cols>
  <sheetData>
    <row r="1" spans="1:2">
      <c r="A1" s="2" t="s">
        <v>355</v>
      </c>
      <c r="B1" s="2" t="s">
        <v>356</v>
      </c>
    </row>
    <row r="2" spans="1:2">
      <c r="A2">
        <v>1</v>
      </c>
      <c r="B2">
        <v>-5</v>
      </c>
    </row>
    <row r="3" spans="1:2">
      <c r="A3">
        <v>2</v>
      </c>
      <c r="B3">
        <v>-4</v>
      </c>
    </row>
    <row r="4" spans="1:2">
      <c r="A4">
        <v>3</v>
      </c>
      <c r="B4">
        <v>-4</v>
      </c>
    </row>
    <row r="5" spans="1:2">
      <c r="A5">
        <v>4</v>
      </c>
      <c r="B5">
        <v>-3</v>
      </c>
    </row>
    <row r="6" spans="1:2">
      <c r="A6">
        <v>5</v>
      </c>
      <c r="B6">
        <v>-3</v>
      </c>
    </row>
    <row r="7" spans="1:2">
      <c r="A7">
        <v>6</v>
      </c>
      <c r="B7">
        <v>-2</v>
      </c>
    </row>
    <row r="8" spans="1:2">
      <c r="A8">
        <v>7</v>
      </c>
      <c r="B8">
        <v>-2</v>
      </c>
    </row>
    <row r="9" spans="1:2">
      <c r="A9">
        <v>8</v>
      </c>
      <c r="B9">
        <v>-1</v>
      </c>
    </row>
    <row r="10" spans="1:2">
      <c r="A10">
        <v>9</v>
      </c>
      <c r="B10">
        <v>-1</v>
      </c>
    </row>
    <row r="11" spans="1:2">
      <c r="A11">
        <v>10</v>
      </c>
      <c r="B11">
        <v>0</v>
      </c>
    </row>
    <row r="12" spans="1:2">
      <c r="A12">
        <v>11</v>
      </c>
      <c r="B12">
        <v>0</v>
      </c>
    </row>
    <row r="13" spans="1:2">
      <c r="A13">
        <v>12</v>
      </c>
      <c r="B13">
        <v>1</v>
      </c>
    </row>
    <row r="14" spans="1:2">
      <c r="A14">
        <v>13</v>
      </c>
      <c r="B14">
        <v>1</v>
      </c>
    </row>
    <row r="15" spans="1:2">
      <c r="A15">
        <v>14</v>
      </c>
      <c r="B15">
        <v>2</v>
      </c>
    </row>
    <row r="16" spans="1:2">
      <c r="A16">
        <v>15</v>
      </c>
      <c r="B16">
        <v>2</v>
      </c>
    </row>
    <row r="17" spans="1:2">
      <c r="A17">
        <v>16</v>
      </c>
      <c r="B17">
        <v>3</v>
      </c>
    </row>
    <row r="18" spans="1:2">
      <c r="A18">
        <v>17</v>
      </c>
      <c r="B18">
        <v>3</v>
      </c>
    </row>
    <row r="19" spans="1:2">
      <c r="A19">
        <v>18</v>
      </c>
      <c r="B19">
        <v>4</v>
      </c>
    </row>
    <row r="20" spans="1:2">
      <c r="A20">
        <v>19</v>
      </c>
      <c r="B20">
        <v>4</v>
      </c>
    </row>
    <row r="21" spans="1:2">
      <c r="A21">
        <v>20</v>
      </c>
      <c r="B21">
        <v>5</v>
      </c>
    </row>
    <row r="22" spans="1:2">
      <c r="A22">
        <v>21</v>
      </c>
      <c r="B22">
        <v>5</v>
      </c>
    </row>
    <row r="23" spans="1:2">
      <c r="A23">
        <v>22</v>
      </c>
      <c r="B23">
        <v>6</v>
      </c>
    </row>
    <row r="24" spans="1:2">
      <c r="A24">
        <v>23</v>
      </c>
      <c r="B24">
        <v>6</v>
      </c>
    </row>
    <row r="25" spans="1:2">
      <c r="A25">
        <v>24</v>
      </c>
      <c r="B25">
        <v>7</v>
      </c>
    </row>
    <row r="26" spans="1:2">
      <c r="A26">
        <v>25</v>
      </c>
      <c r="B26">
        <v>7</v>
      </c>
    </row>
    <row r="27" spans="1:2">
      <c r="A27">
        <v>26</v>
      </c>
      <c r="B27">
        <v>8</v>
      </c>
    </row>
    <row r="28" spans="1:2">
      <c r="A28">
        <v>27</v>
      </c>
      <c r="B28">
        <v>8</v>
      </c>
    </row>
    <row r="29" spans="1:2">
      <c r="A29">
        <v>28</v>
      </c>
      <c r="B29">
        <v>9</v>
      </c>
    </row>
    <row r="30" spans="1:2">
      <c r="A30">
        <v>29</v>
      </c>
      <c r="B30">
        <v>9</v>
      </c>
    </row>
    <row r="31" spans="1:2">
      <c r="A31">
        <v>30</v>
      </c>
      <c r="B31">
        <v>10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B35"/>
  <sheetViews>
    <sheetView workbookViewId="0">
      <selection activeCell="F20" sqref="F20"/>
    </sheetView>
  </sheetViews>
  <sheetFormatPr defaultRowHeight="14.4"/>
  <sheetData>
    <row r="1" spans="1:2">
      <c r="A1" s="2" t="s">
        <v>3</v>
      </c>
      <c r="B1" s="2" t="s">
        <v>243</v>
      </c>
    </row>
    <row r="2" spans="1:2">
      <c r="A2">
        <v>0</v>
      </c>
      <c r="B2">
        <v>0</v>
      </c>
    </row>
    <row r="3" spans="1:2">
      <c r="A3" s="1" t="s">
        <v>0</v>
      </c>
      <c r="B3">
        <v>25</v>
      </c>
    </row>
    <row r="4" spans="1:2">
      <c r="A4" s="1" t="s">
        <v>1</v>
      </c>
      <c r="B4">
        <v>50</v>
      </c>
    </row>
    <row r="5" spans="1:2">
      <c r="A5" s="1" t="s">
        <v>2</v>
      </c>
      <c r="B5">
        <v>100</v>
      </c>
    </row>
    <row r="6" spans="1:2">
      <c r="A6">
        <v>1</v>
      </c>
      <c r="B6">
        <v>200</v>
      </c>
    </row>
    <row r="7" spans="1:2">
      <c r="A7">
        <v>2</v>
      </c>
      <c r="B7">
        <v>450</v>
      </c>
    </row>
    <row r="8" spans="1:2">
      <c r="A8">
        <v>3</v>
      </c>
      <c r="B8">
        <v>700</v>
      </c>
    </row>
    <row r="9" spans="1:2">
      <c r="A9">
        <v>4</v>
      </c>
      <c r="B9">
        <v>1100</v>
      </c>
    </row>
    <row r="10" spans="1:2">
      <c r="A10">
        <v>5</v>
      </c>
      <c r="B10">
        <v>1800</v>
      </c>
    </row>
    <row r="11" spans="1:2">
      <c r="A11">
        <v>6</v>
      </c>
      <c r="B11">
        <v>2300</v>
      </c>
    </row>
    <row r="12" spans="1:2">
      <c r="A12">
        <v>7</v>
      </c>
      <c r="B12">
        <v>2900</v>
      </c>
    </row>
    <row r="13" spans="1:2">
      <c r="A13">
        <v>8</v>
      </c>
      <c r="B13">
        <v>3900</v>
      </c>
    </row>
    <row r="14" spans="1:2">
      <c r="A14">
        <v>9</v>
      </c>
      <c r="B14">
        <v>5000</v>
      </c>
    </row>
    <row r="15" spans="1:2">
      <c r="A15">
        <v>10</v>
      </c>
      <c r="B15">
        <v>5900</v>
      </c>
    </row>
    <row r="16" spans="1:2">
      <c r="A16">
        <v>11</v>
      </c>
      <c r="B16">
        <v>7200</v>
      </c>
    </row>
    <row r="17" spans="1:2">
      <c r="A17">
        <v>12</v>
      </c>
      <c r="B17">
        <v>8400</v>
      </c>
    </row>
    <row r="18" spans="1:2">
      <c r="A18">
        <v>13</v>
      </c>
      <c r="B18">
        <v>10000</v>
      </c>
    </row>
    <row r="19" spans="1:2">
      <c r="A19">
        <v>14</v>
      </c>
      <c r="B19">
        <v>11500</v>
      </c>
    </row>
    <row r="20" spans="1:2">
      <c r="A20">
        <v>15</v>
      </c>
      <c r="B20">
        <v>13000</v>
      </c>
    </row>
    <row r="21" spans="1:2">
      <c r="A21">
        <v>16</v>
      </c>
      <c r="B21">
        <v>15000</v>
      </c>
    </row>
    <row r="22" spans="1:2">
      <c r="A22">
        <v>17</v>
      </c>
      <c r="B22">
        <v>18000</v>
      </c>
    </row>
    <row r="23" spans="1:2">
      <c r="A23">
        <v>18</v>
      </c>
      <c r="B23">
        <v>20000</v>
      </c>
    </row>
    <row r="24" spans="1:2">
      <c r="A24">
        <v>19</v>
      </c>
      <c r="B24">
        <v>22000</v>
      </c>
    </row>
    <row r="25" spans="1:2">
      <c r="A25">
        <v>20</v>
      </c>
      <c r="B25">
        <v>25000</v>
      </c>
    </row>
    <row r="26" spans="1:2">
      <c r="A26">
        <v>21</v>
      </c>
      <c r="B26">
        <v>33000</v>
      </c>
    </row>
    <row r="27" spans="1:2">
      <c r="A27">
        <v>22</v>
      </c>
      <c r="B27">
        <v>41000</v>
      </c>
    </row>
    <row r="28" spans="1:2">
      <c r="A28">
        <v>23</v>
      </c>
      <c r="B28">
        <v>50000</v>
      </c>
    </row>
    <row r="29" spans="1:2">
      <c r="A29">
        <v>24</v>
      </c>
      <c r="B29">
        <v>62000</v>
      </c>
    </row>
    <row r="30" spans="1:2">
      <c r="A30">
        <v>25</v>
      </c>
      <c r="B30">
        <v>75000</v>
      </c>
    </row>
    <row r="31" spans="1:2">
      <c r="A31">
        <v>26</v>
      </c>
      <c r="B31">
        <v>90000</v>
      </c>
    </row>
    <row r="32" spans="1:2">
      <c r="A32">
        <v>27</v>
      </c>
      <c r="B32">
        <v>105000</v>
      </c>
    </row>
    <row r="33" spans="1:2">
      <c r="A33">
        <v>28</v>
      </c>
      <c r="B33">
        <v>120000</v>
      </c>
    </row>
    <row r="34" spans="1:2">
      <c r="A34">
        <v>29</v>
      </c>
      <c r="B34">
        <v>135000</v>
      </c>
    </row>
    <row r="35" spans="1:2">
      <c r="A35">
        <v>30</v>
      </c>
      <c r="B35">
        <v>155000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N67"/>
  <sheetViews>
    <sheetView workbookViewId="0">
      <selection activeCell="D67" sqref="D2:D67"/>
    </sheetView>
  </sheetViews>
  <sheetFormatPr defaultRowHeight="14.4"/>
  <cols>
    <col min="1" max="1" width="8.88671875" style="1"/>
    <col min="2" max="2" width="9.77734375" bestFit="1" customWidth="1"/>
    <col min="4" max="4" width="14.6640625" bestFit="1" customWidth="1"/>
    <col min="5" max="5" width="9.21875" style="1" customWidth="1"/>
    <col min="6" max="6" width="9.21875" bestFit="1" customWidth="1"/>
    <col min="7" max="7" width="9.21875" customWidth="1"/>
    <col min="8" max="8" width="17.33203125" bestFit="1" customWidth="1"/>
    <col min="9" max="9" width="13.33203125" bestFit="1" customWidth="1"/>
  </cols>
  <sheetData>
    <row r="1" spans="1:14">
      <c r="A1" s="166" t="s">
        <v>3</v>
      </c>
      <c r="B1" s="2" t="s">
        <v>490</v>
      </c>
      <c r="E1" s="166" t="s">
        <v>3</v>
      </c>
      <c r="F1" s="2" t="s">
        <v>491</v>
      </c>
      <c r="G1" s="2"/>
      <c r="I1" s="2" t="s">
        <v>484</v>
      </c>
      <c r="K1" s="2" t="s">
        <v>588</v>
      </c>
      <c r="N1" t="s">
        <v>3</v>
      </c>
    </row>
    <row r="2" spans="1:14" s="14" customFormat="1">
      <c r="A2" s="165" t="s">
        <v>839</v>
      </c>
      <c r="B2" s="14">
        <v>2</v>
      </c>
      <c r="C2" s="164" t="s">
        <v>837</v>
      </c>
      <c r="D2" s="164" t="str">
        <f>"("&amp;A2&amp;","&amp;B2&amp;","&amp;C2&amp;"),"</f>
        <v>('1/8',2,'Resistance'),</v>
      </c>
      <c r="E2" s="165" t="s">
        <v>839</v>
      </c>
      <c r="F2" s="14">
        <v>2</v>
      </c>
      <c r="G2" s="164" t="s">
        <v>838</v>
      </c>
      <c r="H2" s="164" t="str">
        <f>"("&amp;E2&amp;","&amp;F2&amp;","&amp;G2&amp;"),"</f>
        <v>('1/8',2,'Immunity'),</v>
      </c>
      <c r="N2" s="14" t="str">
        <f>"'"&amp;A2&amp;"'"</f>
        <v>''1/8''</v>
      </c>
    </row>
    <row r="3" spans="1:14" s="14" customFormat="1">
      <c r="A3" s="165" t="s">
        <v>840</v>
      </c>
      <c r="B3" s="14">
        <v>2</v>
      </c>
      <c r="C3" s="164" t="s">
        <v>837</v>
      </c>
      <c r="D3" s="164" t="str">
        <f>"("&amp;A3&amp;","&amp;B3&amp;","&amp;C3&amp;"),"</f>
        <v>('1/4',2,'Resistance'),</v>
      </c>
      <c r="E3" s="165" t="s">
        <v>840</v>
      </c>
      <c r="F3" s="14">
        <v>2</v>
      </c>
      <c r="G3" s="164" t="s">
        <v>838</v>
      </c>
      <c r="H3" s="164" t="str">
        <f>"("&amp;E3&amp;","&amp;F3&amp;","&amp;G3&amp;"),"</f>
        <v>('1/4',2,'Immunity'),</v>
      </c>
      <c r="N3" s="14" t="str">
        <f t="shared" ref="N3:N34" si="0">"'"&amp;A3&amp;"'"</f>
        <v>''1/4''</v>
      </c>
    </row>
    <row r="4" spans="1:14" s="14" customFormat="1">
      <c r="A4" s="165" t="s">
        <v>841</v>
      </c>
      <c r="B4" s="14">
        <v>2</v>
      </c>
      <c r="C4" s="164" t="s">
        <v>837</v>
      </c>
      <c r="D4" s="164" t="str">
        <f>"("&amp;A4&amp;","&amp;B4&amp;","&amp;C4&amp;"),"</f>
        <v>('1/2',2,'Resistance'),</v>
      </c>
      <c r="E4" s="165" t="s">
        <v>841</v>
      </c>
      <c r="F4" s="14">
        <v>2</v>
      </c>
      <c r="G4" s="164" t="s">
        <v>838</v>
      </c>
      <c r="H4" s="164" t="str">
        <f>"("&amp;E4&amp;","&amp;F4&amp;","&amp;G4&amp;"),"</f>
        <v>('1/2',2,'Immunity'),</v>
      </c>
      <c r="N4" s="14" t="str">
        <f t="shared" si="0"/>
        <v>''1/2''</v>
      </c>
    </row>
    <row r="5" spans="1:14">
      <c r="A5" s="1" t="s">
        <v>842</v>
      </c>
      <c r="B5">
        <v>2</v>
      </c>
      <c r="C5" s="164" t="s">
        <v>837</v>
      </c>
      <c r="D5" s="164" t="str">
        <f>"("&amp;A5&amp;","&amp;B5&amp;","&amp;C5&amp;"),"</f>
        <v>('1',2,'Resistance'),</v>
      </c>
      <c r="E5" s="1" t="s">
        <v>842</v>
      </c>
      <c r="F5">
        <v>2</v>
      </c>
      <c r="G5" s="164" t="s">
        <v>838</v>
      </c>
      <c r="H5" s="164" t="str">
        <f>"("&amp;E5&amp;","&amp;F5&amp;","&amp;G5&amp;"),"</f>
        <v>('1',2,'Immunity'),</v>
      </c>
      <c r="N5" s="14" t="str">
        <f t="shared" si="0"/>
        <v>''1''</v>
      </c>
    </row>
    <row r="6" spans="1:14">
      <c r="A6" s="1" t="s">
        <v>843</v>
      </c>
      <c r="B6">
        <v>2</v>
      </c>
      <c r="C6" s="164" t="s">
        <v>837</v>
      </c>
      <c r="D6" s="164" t="str">
        <f t="shared" ref="D6:D34" si="1">"("&amp;A6&amp;","&amp;B6&amp;","&amp;C6&amp;"),"</f>
        <v>('2',2,'Resistance'),</v>
      </c>
      <c r="E6" s="1" t="s">
        <v>843</v>
      </c>
      <c r="F6">
        <v>2</v>
      </c>
      <c r="G6" s="164" t="s">
        <v>838</v>
      </c>
      <c r="H6" s="164" t="str">
        <f t="shared" ref="H6:H34" si="2">"("&amp;E6&amp;","&amp;F6&amp;","&amp;G6&amp;"),"</f>
        <v>('2',2,'Immunity'),</v>
      </c>
      <c r="I6" t="s">
        <v>492</v>
      </c>
      <c r="K6" t="s">
        <v>490</v>
      </c>
      <c r="L6">
        <f>LEN(K6)</f>
        <v>10</v>
      </c>
      <c r="N6" s="14" t="str">
        <f t="shared" si="0"/>
        <v>''2''</v>
      </c>
    </row>
    <row r="7" spans="1:14">
      <c r="A7" s="1" t="s">
        <v>844</v>
      </c>
      <c r="B7">
        <v>2</v>
      </c>
      <c r="C7" s="164" t="s">
        <v>837</v>
      </c>
      <c r="D7" s="164" t="str">
        <f t="shared" si="1"/>
        <v>('3',2,'Resistance'),</v>
      </c>
      <c r="E7" s="1" t="s">
        <v>844</v>
      </c>
      <c r="F7">
        <v>2</v>
      </c>
      <c r="G7" s="164" t="s">
        <v>838</v>
      </c>
      <c r="H7" s="164" t="str">
        <f t="shared" si="2"/>
        <v>('3',2,'Immunity'),</v>
      </c>
      <c r="I7" t="s">
        <v>493</v>
      </c>
      <c r="K7" t="s">
        <v>491</v>
      </c>
      <c r="L7">
        <f>LEN(K7)</f>
        <v>8</v>
      </c>
      <c r="N7" s="14" t="str">
        <f t="shared" si="0"/>
        <v>''3''</v>
      </c>
    </row>
    <row r="8" spans="1:14">
      <c r="A8" s="1" t="s">
        <v>845</v>
      </c>
      <c r="B8">
        <v>2</v>
      </c>
      <c r="C8" s="164" t="s">
        <v>837</v>
      </c>
      <c r="D8" s="164" t="str">
        <f t="shared" si="1"/>
        <v>('4',2,'Resistance'),</v>
      </c>
      <c r="E8" s="1" t="s">
        <v>845</v>
      </c>
      <c r="F8">
        <v>2</v>
      </c>
      <c r="G8" s="164" t="s">
        <v>838</v>
      </c>
      <c r="H8" s="164" t="str">
        <f t="shared" si="2"/>
        <v>('4',2,'Immunity'),</v>
      </c>
      <c r="I8" t="s">
        <v>486</v>
      </c>
      <c r="N8" s="14" t="str">
        <f t="shared" si="0"/>
        <v>''4''</v>
      </c>
    </row>
    <row r="9" spans="1:14">
      <c r="A9" s="1" t="s">
        <v>846</v>
      </c>
      <c r="B9">
        <v>1.5</v>
      </c>
      <c r="C9" s="164" t="s">
        <v>837</v>
      </c>
      <c r="D9" s="164" t="str">
        <f t="shared" si="1"/>
        <v>('5',1.5,'Resistance'),</v>
      </c>
      <c r="E9" s="1" t="s">
        <v>846</v>
      </c>
      <c r="F9">
        <v>2</v>
      </c>
      <c r="G9" s="164" t="s">
        <v>838</v>
      </c>
      <c r="H9" s="164" t="str">
        <f t="shared" si="2"/>
        <v>('5',2,'Immunity'),</v>
      </c>
      <c r="I9" t="s">
        <v>485</v>
      </c>
      <c r="N9" s="14" t="str">
        <f t="shared" si="0"/>
        <v>''5''</v>
      </c>
    </row>
    <row r="10" spans="1:14">
      <c r="A10" s="1" t="s">
        <v>847</v>
      </c>
      <c r="B10">
        <v>1.5</v>
      </c>
      <c r="C10" s="164" t="s">
        <v>837</v>
      </c>
      <c r="D10" s="164" t="str">
        <f t="shared" si="1"/>
        <v>('6',1.5,'Resistance'),</v>
      </c>
      <c r="E10" s="1" t="s">
        <v>847</v>
      </c>
      <c r="F10">
        <v>2</v>
      </c>
      <c r="G10" s="164" t="s">
        <v>838</v>
      </c>
      <c r="H10" s="164" t="str">
        <f t="shared" si="2"/>
        <v>('6',2,'Immunity'),</v>
      </c>
      <c r="I10" t="s">
        <v>494</v>
      </c>
      <c r="N10" s="14" t="str">
        <f t="shared" si="0"/>
        <v>''6''</v>
      </c>
    </row>
    <row r="11" spans="1:14">
      <c r="A11" s="1" t="s">
        <v>848</v>
      </c>
      <c r="B11">
        <v>1.5</v>
      </c>
      <c r="C11" s="164" t="s">
        <v>837</v>
      </c>
      <c r="D11" s="164" t="str">
        <f t="shared" si="1"/>
        <v>('7',1.5,'Resistance'),</v>
      </c>
      <c r="E11" s="1" t="s">
        <v>848</v>
      </c>
      <c r="F11">
        <v>2</v>
      </c>
      <c r="G11" s="164" t="s">
        <v>838</v>
      </c>
      <c r="H11" s="164" t="str">
        <f t="shared" si="2"/>
        <v>('7',2,'Immunity'),</v>
      </c>
      <c r="I11" t="s">
        <v>489</v>
      </c>
      <c r="N11" s="14" t="str">
        <f t="shared" si="0"/>
        <v>''7''</v>
      </c>
    </row>
    <row r="12" spans="1:14">
      <c r="A12" s="1" t="s">
        <v>849</v>
      </c>
      <c r="B12">
        <v>1.5</v>
      </c>
      <c r="C12" s="164" t="s">
        <v>837</v>
      </c>
      <c r="D12" s="164" t="str">
        <f t="shared" si="1"/>
        <v>('8',1.5,'Resistance'),</v>
      </c>
      <c r="E12" s="1" t="s">
        <v>849</v>
      </c>
      <c r="F12">
        <v>2</v>
      </c>
      <c r="G12" s="164" t="s">
        <v>838</v>
      </c>
      <c r="H12" s="164" t="str">
        <f t="shared" si="2"/>
        <v>('8',2,'Immunity'),</v>
      </c>
      <c r="I12" t="s">
        <v>495</v>
      </c>
      <c r="N12" s="14" t="str">
        <f t="shared" si="0"/>
        <v>''8''</v>
      </c>
    </row>
    <row r="13" spans="1:14">
      <c r="A13" s="1" t="s">
        <v>850</v>
      </c>
      <c r="B13">
        <v>1.5</v>
      </c>
      <c r="C13" s="164" t="s">
        <v>837</v>
      </c>
      <c r="D13" s="164" t="str">
        <f t="shared" si="1"/>
        <v>('9',1.5,'Resistance'),</v>
      </c>
      <c r="E13" s="1" t="s">
        <v>850</v>
      </c>
      <c r="F13">
        <v>2</v>
      </c>
      <c r="G13" s="164" t="s">
        <v>838</v>
      </c>
      <c r="H13" s="164" t="str">
        <f t="shared" si="2"/>
        <v>('9',2,'Immunity'),</v>
      </c>
      <c r="I13" t="s">
        <v>498</v>
      </c>
      <c r="N13" s="14" t="str">
        <f t="shared" si="0"/>
        <v>''9''</v>
      </c>
    </row>
    <row r="14" spans="1:14">
      <c r="A14" s="1" t="s">
        <v>851</v>
      </c>
      <c r="B14">
        <v>1.5</v>
      </c>
      <c r="C14" s="164" t="s">
        <v>837</v>
      </c>
      <c r="D14" s="164" t="str">
        <f t="shared" si="1"/>
        <v>('10',1.5,'Resistance'),</v>
      </c>
      <c r="E14" s="1" t="s">
        <v>851</v>
      </c>
      <c r="F14">
        <v>2</v>
      </c>
      <c r="G14" s="164" t="s">
        <v>838</v>
      </c>
      <c r="H14" s="164" t="str">
        <f t="shared" si="2"/>
        <v>('10',2,'Immunity'),</v>
      </c>
      <c r="I14" t="s">
        <v>499</v>
      </c>
      <c r="N14" s="14" t="str">
        <f t="shared" si="0"/>
        <v>''10''</v>
      </c>
    </row>
    <row r="15" spans="1:14">
      <c r="A15" s="1" t="s">
        <v>852</v>
      </c>
      <c r="B15">
        <v>1.25</v>
      </c>
      <c r="C15" s="164" t="s">
        <v>837</v>
      </c>
      <c r="D15" s="164" t="str">
        <f t="shared" si="1"/>
        <v>('11',1.25,'Resistance'),</v>
      </c>
      <c r="E15" s="1" t="s">
        <v>852</v>
      </c>
      <c r="F15">
        <v>1.5</v>
      </c>
      <c r="G15" s="164" t="s">
        <v>838</v>
      </c>
      <c r="H15" s="164" t="str">
        <f t="shared" si="2"/>
        <v>('11',1.5,'Immunity'),</v>
      </c>
      <c r="I15" t="s">
        <v>496</v>
      </c>
      <c r="N15" s="14" t="str">
        <f t="shared" si="0"/>
        <v>''11''</v>
      </c>
    </row>
    <row r="16" spans="1:14">
      <c r="A16" s="1" t="s">
        <v>853</v>
      </c>
      <c r="B16">
        <v>1.25</v>
      </c>
      <c r="C16" s="164" t="s">
        <v>837</v>
      </c>
      <c r="D16" s="164" t="str">
        <f t="shared" si="1"/>
        <v>('12',1.25,'Resistance'),</v>
      </c>
      <c r="E16" s="1" t="s">
        <v>853</v>
      </c>
      <c r="F16">
        <v>1.5</v>
      </c>
      <c r="G16" s="164" t="s">
        <v>838</v>
      </c>
      <c r="H16" s="164" t="str">
        <f t="shared" si="2"/>
        <v>('12',1.5,'Immunity'),</v>
      </c>
      <c r="I16" t="s">
        <v>487</v>
      </c>
      <c r="N16" s="14" t="str">
        <f t="shared" si="0"/>
        <v>''12''</v>
      </c>
    </row>
    <row r="17" spans="1:14">
      <c r="A17" s="1" t="s">
        <v>854</v>
      </c>
      <c r="B17">
        <v>1.25</v>
      </c>
      <c r="C17" s="164" t="s">
        <v>837</v>
      </c>
      <c r="D17" s="164" t="str">
        <f t="shared" si="1"/>
        <v>('13',1.25,'Resistance'),</v>
      </c>
      <c r="E17" s="1" t="s">
        <v>854</v>
      </c>
      <c r="F17">
        <v>1.5</v>
      </c>
      <c r="G17" s="164" t="s">
        <v>838</v>
      </c>
      <c r="H17" s="164" t="str">
        <f t="shared" si="2"/>
        <v>('13',1.5,'Immunity'),</v>
      </c>
      <c r="I17" t="s">
        <v>497</v>
      </c>
      <c r="N17" s="14" t="str">
        <f t="shared" si="0"/>
        <v>''13''</v>
      </c>
    </row>
    <row r="18" spans="1:14">
      <c r="A18" s="1" t="s">
        <v>855</v>
      </c>
      <c r="B18">
        <v>1.25</v>
      </c>
      <c r="C18" s="164" t="s">
        <v>837</v>
      </c>
      <c r="D18" s="164" t="str">
        <f t="shared" si="1"/>
        <v>('14',1.25,'Resistance'),</v>
      </c>
      <c r="E18" s="1" t="s">
        <v>855</v>
      </c>
      <c r="F18">
        <v>1.5</v>
      </c>
      <c r="G18" s="164" t="s">
        <v>838</v>
      </c>
      <c r="H18" s="164" t="str">
        <f t="shared" si="2"/>
        <v>('14',1.5,'Immunity'),</v>
      </c>
      <c r="I18" t="s">
        <v>488</v>
      </c>
      <c r="N18" s="14" t="str">
        <f t="shared" si="0"/>
        <v>''14''</v>
      </c>
    </row>
    <row r="19" spans="1:14">
      <c r="A19" s="1" t="s">
        <v>856</v>
      </c>
      <c r="B19">
        <v>1.25</v>
      </c>
      <c r="C19" s="164" t="s">
        <v>837</v>
      </c>
      <c r="D19" s="164" t="str">
        <f t="shared" si="1"/>
        <v>('15',1.25,'Resistance'),</v>
      </c>
      <c r="E19" s="1" t="s">
        <v>856</v>
      </c>
      <c r="F19">
        <v>1.5</v>
      </c>
      <c r="G19" s="164" t="s">
        <v>838</v>
      </c>
      <c r="H19" s="164" t="str">
        <f t="shared" si="2"/>
        <v>('15',1.5,'Immunity'),</v>
      </c>
      <c r="N19" s="14" t="str">
        <f t="shared" si="0"/>
        <v>''15''</v>
      </c>
    </row>
    <row r="20" spans="1:14">
      <c r="A20" s="1" t="s">
        <v>857</v>
      </c>
      <c r="B20">
        <v>1.25</v>
      </c>
      <c r="C20" s="164" t="s">
        <v>837</v>
      </c>
      <c r="D20" s="164" t="str">
        <f t="shared" si="1"/>
        <v>('16',1.25,'Resistance'),</v>
      </c>
      <c r="E20" s="1" t="s">
        <v>857</v>
      </c>
      <c r="F20">
        <v>1.5</v>
      </c>
      <c r="G20" s="164" t="s">
        <v>838</v>
      </c>
      <c r="H20" s="164" t="str">
        <f t="shared" si="2"/>
        <v>('16',1.5,'Immunity'),</v>
      </c>
      <c r="N20" s="14" t="str">
        <f t="shared" si="0"/>
        <v>''16''</v>
      </c>
    </row>
    <row r="21" spans="1:14">
      <c r="A21" s="1" t="s">
        <v>858</v>
      </c>
      <c r="B21">
        <v>1</v>
      </c>
      <c r="C21" s="164" t="s">
        <v>837</v>
      </c>
      <c r="D21" s="164" t="str">
        <f t="shared" si="1"/>
        <v>('17',1,'Resistance'),</v>
      </c>
      <c r="E21" s="1" t="s">
        <v>858</v>
      </c>
      <c r="F21">
        <v>1.25</v>
      </c>
      <c r="G21" s="164" t="s">
        <v>838</v>
      </c>
      <c r="H21" s="164" t="str">
        <f t="shared" si="2"/>
        <v>('17',1.25,'Immunity'),</v>
      </c>
      <c r="N21" s="14" t="str">
        <f t="shared" si="0"/>
        <v>''17''</v>
      </c>
    </row>
    <row r="22" spans="1:14">
      <c r="A22" s="1" t="s">
        <v>859</v>
      </c>
      <c r="B22">
        <v>1</v>
      </c>
      <c r="C22" s="164" t="s">
        <v>837</v>
      </c>
      <c r="D22" s="164" t="str">
        <f t="shared" si="1"/>
        <v>('18',1,'Resistance'),</v>
      </c>
      <c r="E22" s="1" t="s">
        <v>859</v>
      </c>
      <c r="F22">
        <v>1.25</v>
      </c>
      <c r="G22" s="164" t="s">
        <v>838</v>
      </c>
      <c r="H22" s="164" t="str">
        <f t="shared" si="2"/>
        <v>('18',1.25,'Immunity'),</v>
      </c>
      <c r="N22" s="14" t="str">
        <f t="shared" si="0"/>
        <v>''18''</v>
      </c>
    </row>
    <row r="23" spans="1:14">
      <c r="A23" s="1" t="s">
        <v>860</v>
      </c>
      <c r="B23">
        <v>1</v>
      </c>
      <c r="C23" s="164" t="s">
        <v>837</v>
      </c>
      <c r="D23" s="164" t="str">
        <f t="shared" si="1"/>
        <v>('19',1,'Resistance'),</v>
      </c>
      <c r="E23" s="1" t="s">
        <v>860</v>
      </c>
      <c r="F23">
        <v>1.25</v>
      </c>
      <c r="G23" s="164" t="s">
        <v>838</v>
      </c>
      <c r="H23" s="164" t="str">
        <f t="shared" si="2"/>
        <v>('19',1.25,'Immunity'),</v>
      </c>
      <c r="N23" s="14" t="str">
        <f t="shared" si="0"/>
        <v>''19''</v>
      </c>
    </row>
    <row r="24" spans="1:14">
      <c r="A24" s="1" t="s">
        <v>861</v>
      </c>
      <c r="B24">
        <v>1</v>
      </c>
      <c r="C24" s="164" t="s">
        <v>837</v>
      </c>
      <c r="D24" s="164" t="str">
        <f t="shared" si="1"/>
        <v>('20',1,'Resistance'),</v>
      </c>
      <c r="E24" s="1" t="s">
        <v>861</v>
      </c>
      <c r="F24">
        <v>1.25</v>
      </c>
      <c r="G24" s="164" t="s">
        <v>838</v>
      </c>
      <c r="H24" s="164" t="str">
        <f t="shared" si="2"/>
        <v>('20',1.25,'Immunity'),</v>
      </c>
      <c r="N24" s="14" t="str">
        <f t="shared" si="0"/>
        <v>''20''</v>
      </c>
    </row>
    <row r="25" spans="1:14">
      <c r="A25" s="1" t="s">
        <v>862</v>
      </c>
      <c r="B25">
        <v>1</v>
      </c>
      <c r="C25" s="164" t="s">
        <v>837</v>
      </c>
      <c r="D25" s="164" t="str">
        <f t="shared" si="1"/>
        <v>('21',1,'Resistance'),</v>
      </c>
      <c r="E25" s="1" t="s">
        <v>862</v>
      </c>
      <c r="F25">
        <v>1.25</v>
      </c>
      <c r="G25" s="164" t="s">
        <v>838</v>
      </c>
      <c r="H25" s="164" t="str">
        <f t="shared" si="2"/>
        <v>('21',1.25,'Immunity'),</v>
      </c>
      <c r="N25" s="14" t="str">
        <f t="shared" si="0"/>
        <v>''21''</v>
      </c>
    </row>
    <row r="26" spans="1:14">
      <c r="A26" s="1" t="s">
        <v>863</v>
      </c>
      <c r="B26">
        <v>1</v>
      </c>
      <c r="C26" s="164" t="s">
        <v>837</v>
      </c>
      <c r="D26" s="164" t="str">
        <f t="shared" si="1"/>
        <v>('22',1,'Resistance'),</v>
      </c>
      <c r="E26" s="1" t="s">
        <v>863</v>
      </c>
      <c r="F26">
        <v>1.25</v>
      </c>
      <c r="G26" s="164" t="s">
        <v>838</v>
      </c>
      <c r="H26" s="164" t="str">
        <f t="shared" si="2"/>
        <v>('22',1.25,'Immunity'),</v>
      </c>
      <c r="N26" s="14" t="str">
        <f t="shared" si="0"/>
        <v>''22''</v>
      </c>
    </row>
    <row r="27" spans="1:14">
      <c r="A27" s="1" t="s">
        <v>864</v>
      </c>
      <c r="B27">
        <v>1</v>
      </c>
      <c r="C27" s="164" t="s">
        <v>837</v>
      </c>
      <c r="D27" s="164" t="str">
        <f t="shared" si="1"/>
        <v>('23',1,'Resistance'),</v>
      </c>
      <c r="E27" s="1" t="s">
        <v>864</v>
      </c>
      <c r="F27">
        <v>1.25</v>
      </c>
      <c r="G27" s="164" t="s">
        <v>838</v>
      </c>
      <c r="H27" s="164" t="str">
        <f t="shared" si="2"/>
        <v>('23',1.25,'Immunity'),</v>
      </c>
      <c r="N27" s="14" t="str">
        <f t="shared" si="0"/>
        <v>''23''</v>
      </c>
    </row>
    <row r="28" spans="1:14">
      <c r="A28" s="1" t="s">
        <v>865</v>
      </c>
      <c r="B28">
        <v>1</v>
      </c>
      <c r="C28" s="164" t="s">
        <v>837</v>
      </c>
      <c r="D28" s="164" t="str">
        <f t="shared" si="1"/>
        <v>('24',1,'Resistance'),</v>
      </c>
      <c r="E28" s="1" t="s">
        <v>865</v>
      </c>
      <c r="F28">
        <v>1.25</v>
      </c>
      <c r="G28" s="164" t="s">
        <v>838</v>
      </c>
      <c r="H28" s="164" t="str">
        <f t="shared" si="2"/>
        <v>('24',1.25,'Immunity'),</v>
      </c>
      <c r="N28" s="14" t="str">
        <f t="shared" si="0"/>
        <v>''24''</v>
      </c>
    </row>
    <row r="29" spans="1:14">
      <c r="A29" s="1" t="s">
        <v>866</v>
      </c>
      <c r="B29">
        <v>1</v>
      </c>
      <c r="C29" s="164" t="s">
        <v>837</v>
      </c>
      <c r="D29" s="164" t="str">
        <f t="shared" si="1"/>
        <v>('25',1,'Resistance'),</v>
      </c>
      <c r="E29" s="1" t="s">
        <v>866</v>
      </c>
      <c r="F29">
        <v>1.25</v>
      </c>
      <c r="G29" s="164" t="s">
        <v>838</v>
      </c>
      <c r="H29" s="164" t="str">
        <f t="shared" si="2"/>
        <v>('25',1.25,'Immunity'),</v>
      </c>
      <c r="N29" s="14" t="str">
        <f t="shared" si="0"/>
        <v>''25''</v>
      </c>
    </row>
    <row r="30" spans="1:14">
      <c r="A30" s="1" t="s">
        <v>867</v>
      </c>
      <c r="B30">
        <v>1</v>
      </c>
      <c r="C30" s="164" t="s">
        <v>837</v>
      </c>
      <c r="D30" s="164" t="str">
        <f t="shared" si="1"/>
        <v>('26',1,'Resistance'),</v>
      </c>
      <c r="E30" s="1" t="s">
        <v>867</v>
      </c>
      <c r="F30">
        <v>1.25</v>
      </c>
      <c r="G30" s="164" t="s">
        <v>838</v>
      </c>
      <c r="H30" s="164" t="str">
        <f t="shared" si="2"/>
        <v>('26',1.25,'Immunity'),</v>
      </c>
      <c r="N30" s="14" t="str">
        <f t="shared" si="0"/>
        <v>''26''</v>
      </c>
    </row>
    <row r="31" spans="1:14">
      <c r="A31" s="1" t="s">
        <v>868</v>
      </c>
      <c r="B31">
        <v>1</v>
      </c>
      <c r="C31" s="164" t="s">
        <v>837</v>
      </c>
      <c r="D31" s="164" t="str">
        <f t="shared" si="1"/>
        <v>('27',1,'Resistance'),</v>
      </c>
      <c r="E31" s="1" t="s">
        <v>868</v>
      </c>
      <c r="F31">
        <v>1.25</v>
      </c>
      <c r="G31" s="164" t="s">
        <v>838</v>
      </c>
      <c r="H31" s="164" t="str">
        <f t="shared" si="2"/>
        <v>('27',1.25,'Immunity'),</v>
      </c>
      <c r="N31" s="14" t="str">
        <f t="shared" si="0"/>
        <v>''27''</v>
      </c>
    </row>
    <row r="32" spans="1:14">
      <c r="A32" s="1" t="s">
        <v>869</v>
      </c>
      <c r="B32">
        <v>1</v>
      </c>
      <c r="C32" s="164" t="s">
        <v>837</v>
      </c>
      <c r="D32" s="164" t="str">
        <f t="shared" si="1"/>
        <v>('28',1,'Resistance'),</v>
      </c>
      <c r="E32" s="1" t="s">
        <v>869</v>
      </c>
      <c r="F32">
        <v>1.25</v>
      </c>
      <c r="G32" s="164" t="s">
        <v>838</v>
      </c>
      <c r="H32" s="164" t="str">
        <f t="shared" si="2"/>
        <v>('28',1.25,'Immunity'),</v>
      </c>
      <c r="N32" s="14" t="str">
        <f t="shared" si="0"/>
        <v>''28''</v>
      </c>
    </row>
    <row r="33" spans="1:14">
      <c r="A33" s="1" t="s">
        <v>870</v>
      </c>
      <c r="B33">
        <v>1</v>
      </c>
      <c r="C33" s="164" t="s">
        <v>837</v>
      </c>
      <c r="D33" s="164" t="str">
        <f t="shared" si="1"/>
        <v>('29',1,'Resistance'),</v>
      </c>
      <c r="E33" s="1" t="s">
        <v>870</v>
      </c>
      <c r="F33">
        <v>1.25</v>
      </c>
      <c r="G33" s="164" t="s">
        <v>838</v>
      </c>
      <c r="H33" s="164" t="str">
        <f t="shared" si="2"/>
        <v>('29',1.25,'Immunity'),</v>
      </c>
      <c r="N33" s="14" t="str">
        <f t="shared" si="0"/>
        <v>''29''</v>
      </c>
    </row>
    <row r="34" spans="1:14">
      <c r="A34" s="1" t="s">
        <v>871</v>
      </c>
      <c r="B34">
        <v>1</v>
      </c>
      <c r="C34" s="164" t="s">
        <v>837</v>
      </c>
      <c r="D34" s="164" t="str">
        <f t="shared" si="1"/>
        <v>('30',1,'Resistance'),</v>
      </c>
      <c r="E34" s="1" t="s">
        <v>871</v>
      </c>
      <c r="F34">
        <v>1.25</v>
      </c>
      <c r="G34" s="164" t="s">
        <v>838</v>
      </c>
      <c r="H34" s="164" t="str">
        <f t="shared" si="2"/>
        <v>('30',1.25,'Immunity'),</v>
      </c>
      <c r="N34" s="14" t="str">
        <f t="shared" si="0"/>
        <v>''30''</v>
      </c>
    </row>
    <row r="35" spans="1:14">
      <c r="D35" t="s">
        <v>872</v>
      </c>
    </row>
    <row r="36" spans="1:14">
      <c r="D36" t="s">
        <v>873</v>
      </c>
    </row>
    <row r="37" spans="1:14">
      <c r="D37" t="s">
        <v>874</v>
      </c>
    </row>
    <row r="38" spans="1:14">
      <c r="D38" t="s">
        <v>875</v>
      </c>
    </row>
    <row r="39" spans="1:14">
      <c r="D39" t="s">
        <v>876</v>
      </c>
    </row>
    <row r="40" spans="1:14">
      <c r="D40" t="s">
        <v>877</v>
      </c>
    </row>
    <row r="41" spans="1:14">
      <c r="D41" t="s">
        <v>878</v>
      </c>
    </row>
    <row r="42" spans="1:14">
      <c r="D42" t="s">
        <v>879</v>
      </c>
    </row>
    <row r="43" spans="1:14">
      <c r="D43" t="s">
        <v>880</v>
      </c>
    </row>
    <row r="44" spans="1:14">
      <c r="D44" t="s">
        <v>881</v>
      </c>
    </row>
    <row r="45" spans="1:14">
      <c r="D45" t="s">
        <v>882</v>
      </c>
    </row>
    <row r="46" spans="1:14">
      <c r="D46" t="s">
        <v>883</v>
      </c>
    </row>
    <row r="47" spans="1:14">
      <c r="D47" t="s">
        <v>884</v>
      </c>
    </row>
    <row r="48" spans="1:14">
      <c r="D48" t="s">
        <v>885</v>
      </c>
    </row>
    <row r="49" spans="4:4">
      <c r="D49" t="s">
        <v>886</v>
      </c>
    </row>
    <row r="50" spans="4:4">
      <c r="D50" t="s">
        <v>887</v>
      </c>
    </row>
    <row r="51" spans="4:4">
      <c r="D51" t="s">
        <v>888</v>
      </c>
    </row>
    <row r="52" spans="4:4">
      <c r="D52" t="s">
        <v>889</v>
      </c>
    </row>
    <row r="53" spans="4:4">
      <c r="D53" t="s">
        <v>890</v>
      </c>
    </row>
    <row r="54" spans="4:4">
      <c r="D54" t="s">
        <v>891</v>
      </c>
    </row>
    <row r="55" spans="4:4">
      <c r="D55" t="s">
        <v>892</v>
      </c>
    </row>
    <row r="56" spans="4:4">
      <c r="D56" t="s">
        <v>893</v>
      </c>
    </row>
    <row r="57" spans="4:4">
      <c r="D57" t="s">
        <v>894</v>
      </c>
    </row>
    <row r="58" spans="4:4">
      <c r="D58" t="s">
        <v>895</v>
      </c>
    </row>
    <row r="59" spans="4:4">
      <c r="D59" t="s">
        <v>896</v>
      </c>
    </row>
    <row r="60" spans="4:4">
      <c r="D60" t="s">
        <v>897</v>
      </c>
    </row>
    <row r="61" spans="4:4">
      <c r="D61" t="s">
        <v>898</v>
      </c>
    </row>
    <row r="62" spans="4:4">
      <c r="D62" t="s">
        <v>899</v>
      </c>
    </row>
    <row r="63" spans="4:4">
      <c r="D63" t="s">
        <v>900</v>
      </c>
    </row>
    <row r="64" spans="4:4">
      <c r="D64" t="s">
        <v>901</v>
      </c>
    </row>
    <row r="65" spans="4:4">
      <c r="D65" t="s">
        <v>902</v>
      </c>
    </row>
    <row r="66" spans="4:4">
      <c r="D66" t="s">
        <v>903</v>
      </c>
    </row>
    <row r="67" spans="4:4">
      <c r="D67" t="s">
        <v>904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Stat Block</vt:lpstr>
      <vt:lpstr>Monsters-Alignments</vt:lpstr>
      <vt:lpstr>Modified WS</vt:lpstr>
      <vt:lpstr>Languages</vt:lpstr>
      <vt:lpstr>Skills</vt:lpstr>
      <vt:lpstr>Hit Dice by Size</vt:lpstr>
      <vt:lpstr>Features</vt:lpstr>
      <vt:lpstr>Armor and HP</vt:lpstr>
      <vt:lpstr>Stats by CR</vt:lpstr>
      <vt:lpstr>Average Roll by Die</vt:lpstr>
      <vt:lpstr>Weapons and Damage</vt:lpstr>
      <vt:lpstr>Ability Mod by Score</vt:lpstr>
      <vt:lpstr>XP by CR</vt:lpstr>
      <vt:lpstr>Effec HP Based on Res. and Imm.</vt:lpstr>
      <vt:lpstr>'Weapons and Damage'!attributes</vt:lpstr>
      <vt:lpstr>'Stat Block'!Print_Area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Anderson</dc:creator>
  <cp:lastModifiedBy>Nate Anderson</cp:lastModifiedBy>
  <cp:lastPrinted>2017-08-01T12:42:09Z</cp:lastPrinted>
  <dcterms:created xsi:type="dcterms:W3CDTF">2017-03-25T19:28:24Z</dcterms:created>
  <dcterms:modified xsi:type="dcterms:W3CDTF">2017-09-14T22:41:37Z</dcterms:modified>
</cp:coreProperties>
</file>